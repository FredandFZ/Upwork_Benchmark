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6B9133F3-1D15-44E9-BB7D-3E720FEDDF92}" xr6:coauthVersionLast="47" xr6:coauthVersionMax="47" xr10:uidLastSave="{00000000-0000-0000-0000-000000000000}"/>
  <bookViews>
    <workbookView xWindow="-110" yWindow="-110" windowWidth="19420" windowHeight="10420" tabRatio="500" xr2:uid="{00000000-000D-0000-FFFF-FFFF00000000}"/>
  </bookViews>
  <sheets>
    <sheet name="Read Me" sheetId="1" r:id="rId1"/>
    <sheet name="Executive Summary" sheetId="2" r:id="rId2"/>
    <sheet name="Dashboard" sheetId="3" r:id="rId3"/>
    <sheet name="Assumptions" sheetId="4" r:id="rId4"/>
    <sheet name="Site Detail" sheetId="5" r:id="rId5"/>
    <sheet name="Model" sheetId="6" r:id="rId6"/>
    <sheet name="P&amp;L (Case B)" sheetId="7" r:id="rId7"/>
    <sheet name="Balance Sheet (Case B)" sheetId="8" r:id="rId8"/>
    <sheet name="Summary" sheetId="9" r:id="rId9"/>
    <sheet name="Sensitivity Analysis" sheetId="10" r:id="rId10"/>
    <sheet name="Conclusion &amp; Recommendations" sheetId="11" r:id="rId11"/>
  </sheets>
  <definedNames>
    <definedName name="_xlnm.Print_Area" localSheetId="3">Assumptions!$A$1:$F$111</definedName>
    <definedName name="_xlnm.Print_Area" localSheetId="7">'Balance Sheet (Case B)'!$A$1:$AH$20</definedName>
    <definedName name="_xlnm.Print_Area" localSheetId="10">'Conclusion &amp; Recommendations'!$A$1:$B$65</definedName>
    <definedName name="_xlnm.Print_Area" localSheetId="2">Dashboard!$A$1:$H$30</definedName>
    <definedName name="_xlnm.Print_Area" localSheetId="1">'Executive Summary'!$A$1:$A$48</definedName>
    <definedName name="_xlnm.Print_Area" localSheetId="5">Model!$A$1:$AH$120</definedName>
    <definedName name="_xlnm.Print_Area" localSheetId="6">'P&amp;L (Case B)'!$A$1:$AH$20</definedName>
    <definedName name="_xlnm.Print_Area" localSheetId="0">'Read Me'!$A$1:$A$68</definedName>
    <definedName name="_xlnm.Print_Area" localSheetId="9">'Sensitivity Analysis'!$A$1:$E$25</definedName>
    <definedName name="_xlnm.Print_Area" localSheetId="4">'Site Detail'!$A$1:$AH$80</definedName>
    <definedName name="_xlnm.Print_Area" localSheetId="8">Summary!$A$1:$D$40</definedName>
    <definedName name="_xlnm.Print_Titles" localSheetId="7">'Balance Sheet (Case B)'!$A:$A</definedName>
    <definedName name="_xlnm.Print_Titles" localSheetId="5">Model!$A:$A</definedName>
    <definedName name="_xlnm.Print_Titles" localSheetId="6">'P&amp;L (Case B)'!$A:$A</definedName>
    <definedName name="_xlnm.Print_Titles" localSheetId="4">'Site Detail'!$A:$A</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AG4" i="8" l="1"/>
  <c r="AF4" i="8"/>
  <c r="AE4" i="8"/>
  <c r="AD4" i="8"/>
  <c r="AC4" i="8"/>
  <c r="AB4" i="8"/>
  <c r="AA4" i="8"/>
  <c r="Z4" i="8"/>
  <c r="Y4" i="8"/>
  <c r="X4" i="8"/>
  <c r="W4" i="8"/>
  <c r="V4" i="8"/>
  <c r="U4" i="8"/>
  <c r="T4" i="8"/>
  <c r="S4" i="8"/>
  <c r="R4" i="8"/>
  <c r="Q4" i="8"/>
  <c r="P4" i="8"/>
  <c r="O4" i="8"/>
  <c r="N4" i="8"/>
  <c r="M4" i="8"/>
  <c r="L4" i="8"/>
  <c r="K4" i="8"/>
  <c r="J4" i="8"/>
  <c r="I4" i="8"/>
  <c r="H4" i="8"/>
  <c r="G4" i="8"/>
  <c r="F4" i="8"/>
  <c r="E4" i="8"/>
  <c r="D4" i="8"/>
  <c r="G15" i="7"/>
  <c r="F15" i="7"/>
  <c r="E15" i="7"/>
  <c r="D15" i="7"/>
  <c r="AG4" i="7"/>
  <c r="AF4" i="7"/>
  <c r="AE4" i="7"/>
  <c r="AD4" i="7"/>
  <c r="AC4" i="7"/>
  <c r="AB4" i="7"/>
  <c r="AA4" i="7"/>
  <c r="Z4" i="7"/>
  <c r="Y4" i="7"/>
  <c r="X4" i="7"/>
  <c r="W4" i="7"/>
  <c r="V4" i="7"/>
  <c r="U4" i="7"/>
  <c r="T4" i="7"/>
  <c r="S4" i="7"/>
  <c r="R4" i="7"/>
  <c r="Q4" i="7"/>
  <c r="P4" i="7"/>
  <c r="O4" i="7"/>
  <c r="N4" i="7"/>
  <c r="M4" i="7"/>
  <c r="L4" i="7"/>
  <c r="K4" i="7"/>
  <c r="J4" i="7"/>
  <c r="I4" i="7"/>
  <c r="H4" i="7"/>
  <c r="G4" i="7"/>
  <c r="F4" i="7"/>
  <c r="E4" i="7"/>
  <c r="D4" i="7"/>
  <c r="AF117" i="6"/>
  <c r="AE117" i="6"/>
  <c r="AD117" i="6"/>
  <c r="AC117" i="6"/>
  <c r="AB117" i="6"/>
  <c r="AA117" i="6"/>
  <c r="Z117" i="6"/>
  <c r="Y117" i="6"/>
  <c r="X117" i="6"/>
  <c r="W117" i="6"/>
  <c r="V117" i="6"/>
  <c r="U117" i="6"/>
  <c r="T117" i="6"/>
  <c r="S117" i="6"/>
  <c r="R117" i="6"/>
  <c r="Q117" i="6"/>
  <c r="P117" i="6"/>
  <c r="O117" i="6"/>
  <c r="N117" i="6"/>
  <c r="M117" i="6"/>
  <c r="L117" i="6"/>
  <c r="K117" i="6"/>
  <c r="J117" i="6"/>
  <c r="I117" i="6"/>
  <c r="H117" i="6"/>
  <c r="G117" i="6"/>
  <c r="F117" i="6"/>
  <c r="E117" i="6"/>
  <c r="D117" i="6"/>
  <c r="AF116" i="6"/>
  <c r="AE116" i="6"/>
  <c r="AD116" i="6"/>
  <c r="AC116" i="6"/>
  <c r="AB116" i="6"/>
  <c r="AA116" i="6"/>
  <c r="Z116" i="6"/>
  <c r="Y116" i="6"/>
  <c r="X116" i="6"/>
  <c r="W116" i="6"/>
  <c r="V116" i="6"/>
  <c r="U116" i="6"/>
  <c r="T116" i="6"/>
  <c r="S116" i="6"/>
  <c r="R116" i="6"/>
  <c r="Q116" i="6"/>
  <c r="P116" i="6"/>
  <c r="O116" i="6"/>
  <c r="N116" i="6"/>
  <c r="M116" i="6"/>
  <c r="L116" i="6"/>
  <c r="K116" i="6"/>
  <c r="J116" i="6"/>
  <c r="I116" i="6"/>
  <c r="H116" i="6"/>
  <c r="G116" i="6"/>
  <c r="F116" i="6"/>
  <c r="E116" i="6"/>
  <c r="D116" i="6"/>
  <c r="AG115" i="6"/>
  <c r="AF115" i="6"/>
  <c r="AE115" i="6"/>
  <c r="AD115" i="6"/>
  <c r="AB115" i="6"/>
  <c r="AA115" i="6"/>
  <c r="Z115" i="6"/>
  <c r="Y115" i="6"/>
  <c r="X115" i="6"/>
  <c r="W115" i="6"/>
  <c r="V115" i="6"/>
  <c r="U115" i="6"/>
  <c r="T115" i="6"/>
  <c r="S115" i="6"/>
  <c r="R115" i="6"/>
  <c r="Q115" i="6"/>
  <c r="P115" i="6"/>
  <c r="O115" i="6"/>
  <c r="N115" i="6"/>
  <c r="M115" i="6"/>
  <c r="L115" i="6"/>
  <c r="K115" i="6"/>
  <c r="J115" i="6"/>
  <c r="I115" i="6"/>
  <c r="H115" i="6"/>
  <c r="F115" i="6"/>
  <c r="E115" i="6"/>
  <c r="D115" i="6"/>
  <c r="G112" i="6"/>
  <c r="F112" i="6"/>
  <c r="F113" i="6" s="1"/>
  <c r="E112" i="6"/>
  <c r="D112" i="6"/>
  <c r="D113" i="6" s="1"/>
  <c r="D108" i="6"/>
  <c r="D107" i="6"/>
  <c r="AG72" i="6"/>
  <c r="AF72" i="6"/>
  <c r="AE72" i="6"/>
  <c r="AD72" i="6"/>
  <c r="AC72" i="6"/>
  <c r="AB72" i="6"/>
  <c r="AA72" i="6"/>
  <c r="Z72" i="6"/>
  <c r="Y72" i="6"/>
  <c r="X72" i="6"/>
  <c r="W72" i="6"/>
  <c r="V72" i="6"/>
  <c r="U72" i="6"/>
  <c r="T72" i="6"/>
  <c r="S72" i="6"/>
  <c r="R72" i="6"/>
  <c r="Q72" i="6"/>
  <c r="P72" i="6"/>
  <c r="O72" i="6"/>
  <c r="N72" i="6"/>
  <c r="M72" i="6"/>
  <c r="L72" i="6"/>
  <c r="K72" i="6"/>
  <c r="J72" i="6"/>
  <c r="I72" i="6"/>
  <c r="H72" i="6"/>
  <c r="G72" i="6"/>
  <c r="F72" i="6"/>
  <c r="E72" i="6"/>
  <c r="D72" i="6"/>
  <c r="AG71" i="6"/>
  <c r="AF71" i="6"/>
  <c r="AE71" i="6"/>
  <c r="AD71" i="6"/>
  <c r="AC71" i="6"/>
  <c r="AB71" i="6"/>
  <c r="AA71" i="6"/>
  <c r="Z71" i="6"/>
  <c r="Y71" i="6"/>
  <c r="X71" i="6"/>
  <c r="W71" i="6"/>
  <c r="V71" i="6"/>
  <c r="U71" i="6"/>
  <c r="T71" i="6"/>
  <c r="S71" i="6"/>
  <c r="R71" i="6"/>
  <c r="Q71" i="6"/>
  <c r="P71" i="6"/>
  <c r="O71" i="6"/>
  <c r="N71" i="6"/>
  <c r="M71" i="6"/>
  <c r="L71" i="6"/>
  <c r="K71" i="6"/>
  <c r="J71" i="6"/>
  <c r="I71" i="6"/>
  <c r="H71" i="6"/>
  <c r="G71" i="6"/>
  <c r="F71" i="6"/>
  <c r="E71" i="6"/>
  <c r="D71" i="6"/>
  <c r="G61" i="6"/>
  <c r="G8" i="7" s="1"/>
  <c r="F61" i="6"/>
  <c r="F8" i="7" s="1"/>
  <c r="E61" i="6"/>
  <c r="E8" i="7" s="1"/>
  <c r="D61" i="6"/>
  <c r="AG47" i="6"/>
  <c r="AF47" i="6"/>
  <c r="AE47" i="6"/>
  <c r="AD47" i="6"/>
  <c r="AC47" i="6"/>
  <c r="AB47" i="6"/>
  <c r="AA47" i="6"/>
  <c r="Z47" i="6"/>
  <c r="Y47" i="6"/>
  <c r="X47" i="6"/>
  <c r="W47" i="6"/>
  <c r="V47" i="6"/>
  <c r="U47" i="6"/>
  <c r="T47" i="6"/>
  <c r="S47" i="6"/>
  <c r="R47" i="6"/>
  <c r="Q47" i="6"/>
  <c r="P47" i="6"/>
  <c r="O47" i="6"/>
  <c r="N47" i="6"/>
  <c r="M47" i="6"/>
  <c r="L47" i="6"/>
  <c r="K47" i="6"/>
  <c r="J47" i="6"/>
  <c r="I47" i="6"/>
  <c r="H47" i="6"/>
  <c r="G47" i="6"/>
  <c r="F47" i="6"/>
  <c r="E47" i="6"/>
  <c r="D47" i="6"/>
  <c r="AG36" i="6"/>
  <c r="AF36" i="6"/>
  <c r="AE36" i="6"/>
  <c r="AD36" i="6"/>
  <c r="AC36" i="6"/>
  <c r="AB36" i="6"/>
  <c r="AA36" i="6"/>
  <c r="Z36" i="6"/>
  <c r="Y36" i="6"/>
  <c r="X36" i="6"/>
  <c r="W36" i="6"/>
  <c r="V36" i="6"/>
  <c r="U36" i="6"/>
  <c r="T36" i="6"/>
  <c r="S36" i="6"/>
  <c r="R36" i="6"/>
  <c r="Q36" i="6"/>
  <c r="P36" i="6"/>
  <c r="O36" i="6"/>
  <c r="N36" i="6"/>
  <c r="M36" i="6"/>
  <c r="L36" i="6"/>
  <c r="K36" i="6"/>
  <c r="J36" i="6"/>
  <c r="I36" i="6"/>
  <c r="H36" i="6"/>
  <c r="G36" i="6"/>
  <c r="F36" i="6"/>
  <c r="E36" i="6"/>
  <c r="D36" i="6"/>
  <c r="AG35" i="6"/>
  <c r="AF35" i="6"/>
  <c r="AE35" i="6"/>
  <c r="AD35" i="6"/>
  <c r="AC35" i="6"/>
  <c r="AB35" i="6"/>
  <c r="AA35" i="6"/>
  <c r="Z35" i="6"/>
  <c r="Y35" i="6"/>
  <c r="X35" i="6"/>
  <c r="W35" i="6"/>
  <c r="V35" i="6"/>
  <c r="U35" i="6"/>
  <c r="T35" i="6"/>
  <c r="S35" i="6"/>
  <c r="R35" i="6"/>
  <c r="Q35" i="6"/>
  <c r="P35" i="6"/>
  <c r="O35" i="6"/>
  <c r="N35" i="6"/>
  <c r="M35" i="6"/>
  <c r="L35" i="6"/>
  <c r="K35" i="6"/>
  <c r="J35" i="6"/>
  <c r="I35" i="6"/>
  <c r="H35" i="6"/>
  <c r="G35" i="6"/>
  <c r="F35" i="6"/>
  <c r="E35" i="6"/>
  <c r="D35" i="6"/>
  <c r="G24" i="6"/>
  <c r="F24" i="6"/>
  <c r="E24" i="6"/>
  <c r="D24" i="6"/>
  <c r="AG23" i="6"/>
  <c r="AG55" i="6" s="1"/>
  <c r="AG56" i="6" s="1"/>
  <c r="AF23" i="6"/>
  <c r="AE23" i="6"/>
  <c r="AE65" i="6" s="1"/>
  <c r="AE66" i="6" s="1"/>
  <c r="AD23" i="6"/>
  <c r="G23" i="6"/>
  <c r="G65" i="6" s="1"/>
  <c r="G66" i="6" s="1"/>
  <c r="F23" i="6"/>
  <c r="E23" i="6"/>
  <c r="E55" i="6" s="1"/>
  <c r="E56" i="6" s="1"/>
  <c r="D23" i="6"/>
  <c r="AG22" i="6"/>
  <c r="AF22" i="6"/>
  <c r="AE22" i="6"/>
  <c r="AD22" i="6"/>
  <c r="AC22" i="6"/>
  <c r="AB22" i="6"/>
  <c r="AA22" i="6"/>
  <c r="Z22" i="6"/>
  <c r="Y22" i="6"/>
  <c r="X22" i="6"/>
  <c r="W22" i="6"/>
  <c r="V22" i="6"/>
  <c r="U22" i="6"/>
  <c r="T22" i="6"/>
  <c r="S22" i="6"/>
  <c r="R22" i="6"/>
  <c r="Q22" i="6"/>
  <c r="P22" i="6"/>
  <c r="O22" i="6"/>
  <c r="N22" i="6"/>
  <c r="M22" i="6"/>
  <c r="L22" i="6"/>
  <c r="K22" i="6"/>
  <c r="J22" i="6"/>
  <c r="I22" i="6"/>
  <c r="H22" i="6"/>
  <c r="AG12" i="6"/>
  <c r="AF12" i="6"/>
  <c r="AE12" i="6"/>
  <c r="AD12" i="6"/>
  <c r="AC12" i="6"/>
  <c r="AB12" i="6"/>
  <c r="AA12" i="6"/>
  <c r="Z12" i="6"/>
  <c r="Y12" i="6"/>
  <c r="X12" i="6"/>
  <c r="W12" i="6"/>
  <c r="V12" i="6"/>
  <c r="U12" i="6"/>
  <c r="T12" i="6"/>
  <c r="S12" i="6"/>
  <c r="R12" i="6"/>
  <c r="Q12" i="6"/>
  <c r="P12" i="6"/>
  <c r="O12" i="6"/>
  <c r="N12" i="6"/>
  <c r="M12" i="6"/>
  <c r="L12" i="6"/>
  <c r="K12" i="6"/>
  <c r="J12" i="6"/>
  <c r="I12" i="6"/>
  <c r="H12" i="6"/>
  <c r="G12" i="6"/>
  <c r="F12" i="6"/>
  <c r="E12" i="6"/>
  <c r="D12" i="6"/>
  <c r="AG11" i="6"/>
  <c r="AF11" i="6"/>
  <c r="AE11" i="6"/>
  <c r="AD11" i="6"/>
  <c r="AC11" i="6"/>
  <c r="AB11" i="6"/>
  <c r="AA11" i="6"/>
  <c r="Z11" i="6"/>
  <c r="Y11" i="6"/>
  <c r="X11" i="6"/>
  <c r="W11" i="6"/>
  <c r="V11" i="6"/>
  <c r="U11" i="6"/>
  <c r="T11" i="6"/>
  <c r="S11" i="6"/>
  <c r="R11" i="6"/>
  <c r="Q11" i="6"/>
  <c r="P11" i="6"/>
  <c r="O11" i="6"/>
  <c r="N11" i="6"/>
  <c r="M11" i="6"/>
  <c r="L11" i="6"/>
  <c r="K11" i="6"/>
  <c r="J11" i="6"/>
  <c r="I11" i="6"/>
  <c r="H11" i="6"/>
  <c r="G11" i="6"/>
  <c r="F11" i="6"/>
  <c r="E11" i="6"/>
  <c r="D11" i="6"/>
  <c r="AG10" i="6"/>
  <c r="AF10" i="6"/>
  <c r="AE10" i="6"/>
  <c r="AD10" i="6"/>
  <c r="AC10" i="6"/>
  <c r="AB10" i="6"/>
  <c r="AA10" i="6"/>
  <c r="Z10" i="6"/>
  <c r="Y10" i="6"/>
  <c r="X10" i="6"/>
  <c r="W10" i="6"/>
  <c r="V10" i="6"/>
  <c r="U10" i="6"/>
  <c r="T10" i="6"/>
  <c r="S10" i="6"/>
  <c r="R10" i="6"/>
  <c r="Q10" i="6"/>
  <c r="P10" i="6"/>
  <c r="O10" i="6"/>
  <c r="N10" i="6"/>
  <c r="M10" i="6"/>
  <c r="L10" i="6"/>
  <c r="K10" i="6"/>
  <c r="J10" i="6"/>
  <c r="I10" i="6"/>
  <c r="H10" i="6"/>
  <c r="G10" i="6"/>
  <c r="F10" i="6"/>
  <c r="E10" i="6"/>
  <c r="D10" i="6"/>
  <c r="AG6" i="6"/>
  <c r="AG46" i="6" s="1"/>
  <c r="AF6" i="6"/>
  <c r="AE6" i="6"/>
  <c r="AD6" i="6"/>
  <c r="AD39" i="6" s="1"/>
  <c r="AC6" i="6"/>
  <c r="AC46" i="6" s="1"/>
  <c r="AB6" i="6"/>
  <c r="AA6" i="6"/>
  <c r="Z6" i="6"/>
  <c r="Z39" i="6" s="1"/>
  <c r="Y6" i="6"/>
  <c r="Y46" i="6" s="1"/>
  <c r="X6" i="6"/>
  <c r="X31" i="6" s="1"/>
  <c r="W6" i="6"/>
  <c r="V6" i="6"/>
  <c r="V39" i="6" s="1"/>
  <c r="U6" i="6"/>
  <c r="U46" i="6" s="1"/>
  <c r="T6" i="6"/>
  <c r="S6" i="6"/>
  <c r="R6" i="6"/>
  <c r="R39" i="6" s="1"/>
  <c r="Q6" i="6"/>
  <c r="Q46" i="6" s="1"/>
  <c r="P6" i="6"/>
  <c r="O6" i="6"/>
  <c r="N6" i="6"/>
  <c r="N39" i="6" s="1"/>
  <c r="M6" i="6"/>
  <c r="M46" i="6" s="1"/>
  <c r="L6" i="6"/>
  <c r="L33" i="6" s="1"/>
  <c r="K6" i="6"/>
  <c r="K46" i="6" s="1"/>
  <c r="J6" i="6"/>
  <c r="J39" i="6" s="1"/>
  <c r="I6" i="6"/>
  <c r="I46" i="6" s="1"/>
  <c r="H6" i="6"/>
  <c r="H31" i="6" s="1"/>
  <c r="G6" i="6"/>
  <c r="F6" i="6"/>
  <c r="F39" i="6" s="1"/>
  <c r="E6" i="6"/>
  <c r="E46" i="6" s="1"/>
  <c r="D6" i="6"/>
  <c r="AG5" i="6"/>
  <c r="AF5" i="6"/>
  <c r="AF44" i="6" s="1"/>
  <c r="AE5" i="6"/>
  <c r="AE37" i="6" s="1"/>
  <c r="AD5" i="6"/>
  <c r="AC5" i="6"/>
  <c r="AB5" i="6"/>
  <c r="AB44" i="6" s="1"/>
  <c r="AA5" i="6"/>
  <c r="AA37" i="6" s="1"/>
  <c r="Z5" i="6"/>
  <c r="Z44" i="6" s="1"/>
  <c r="Y5" i="6"/>
  <c r="X5" i="6"/>
  <c r="X44" i="6" s="1"/>
  <c r="W5" i="6"/>
  <c r="W37" i="6" s="1"/>
  <c r="V5" i="6"/>
  <c r="U5" i="6"/>
  <c r="T5" i="6"/>
  <c r="T44" i="6" s="1"/>
  <c r="S5" i="6"/>
  <c r="S44" i="6" s="1"/>
  <c r="R5" i="6"/>
  <c r="Q5" i="6"/>
  <c r="P5" i="6"/>
  <c r="P44" i="6" s="1"/>
  <c r="O5" i="6"/>
  <c r="O37" i="6" s="1"/>
  <c r="N5" i="6"/>
  <c r="M5" i="6"/>
  <c r="L5" i="6"/>
  <c r="L44" i="6" s="1"/>
  <c r="K5" i="6"/>
  <c r="K44" i="6" s="1"/>
  <c r="J5" i="6"/>
  <c r="J44" i="6" s="1"/>
  <c r="I5" i="6"/>
  <c r="H5" i="6"/>
  <c r="H44" i="6" s="1"/>
  <c r="G5" i="6"/>
  <c r="G37" i="6" s="1"/>
  <c r="F5" i="6"/>
  <c r="E5" i="6"/>
  <c r="D5" i="6"/>
  <c r="D44" i="6" s="1"/>
  <c r="AG4" i="6"/>
  <c r="AG5" i="7" s="1"/>
  <c r="AF4" i="6"/>
  <c r="AF5" i="7" s="1"/>
  <c r="AE4" i="6"/>
  <c r="AE5" i="7" s="1"/>
  <c r="AD4" i="6"/>
  <c r="AD5" i="7" s="1"/>
  <c r="AC4" i="6"/>
  <c r="AC5" i="7" s="1"/>
  <c r="AB4" i="6"/>
  <c r="AB5" i="7" s="1"/>
  <c r="AA4" i="6"/>
  <c r="AA5" i="7" s="1"/>
  <c r="Z4" i="6"/>
  <c r="Z5" i="7" s="1"/>
  <c r="Y4" i="6"/>
  <c r="Y5" i="7" s="1"/>
  <c r="X4" i="6"/>
  <c r="X5" i="7" s="1"/>
  <c r="W4" i="6"/>
  <c r="W5" i="7" s="1"/>
  <c r="V4" i="6"/>
  <c r="V5" i="7" s="1"/>
  <c r="U4" i="6"/>
  <c r="U5" i="7" s="1"/>
  <c r="T4" i="6"/>
  <c r="T5" i="7" s="1"/>
  <c r="S4" i="6"/>
  <c r="S5" i="7" s="1"/>
  <c r="R4" i="6"/>
  <c r="R5" i="7" s="1"/>
  <c r="Q4" i="6"/>
  <c r="Q5" i="7" s="1"/>
  <c r="P4" i="6"/>
  <c r="P5" i="7" s="1"/>
  <c r="O4" i="6"/>
  <c r="O5" i="7" s="1"/>
  <c r="N4" i="6"/>
  <c r="N5" i="7" s="1"/>
  <c r="M4" i="6"/>
  <c r="M5" i="7" s="1"/>
  <c r="L4" i="6"/>
  <c r="L5" i="7" s="1"/>
  <c r="K4" i="6"/>
  <c r="K5" i="7" s="1"/>
  <c r="J4" i="6"/>
  <c r="J5" i="7" s="1"/>
  <c r="I4" i="6"/>
  <c r="I5" i="7" s="1"/>
  <c r="H4" i="6"/>
  <c r="H5" i="7" s="1"/>
  <c r="G4" i="6"/>
  <c r="G5" i="7" s="1"/>
  <c r="F4" i="6"/>
  <c r="F5" i="7" s="1"/>
  <c r="E4" i="6"/>
  <c r="E5" i="7" s="1"/>
  <c r="D4" i="6"/>
  <c r="D5" i="7" s="1"/>
  <c r="AG66" i="5"/>
  <c r="AF66" i="5"/>
  <c r="AE66" i="5"/>
  <c r="AD66" i="5"/>
  <c r="AC66" i="5"/>
  <c r="AB66" i="5"/>
  <c r="AA66" i="5"/>
  <c r="Z66" i="5"/>
  <c r="Y66" i="5"/>
  <c r="X66" i="5"/>
  <c r="W66" i="5"/>
  <c r="V66" i="5"/>
  <c r="U66" i="5"/>
  <c r="T66" i="5"/>
  <c r="S66" i="5"/>
  <c r="R66" i="5"/>
  <c r="Q66" i="5"/>
  <c r="P66" i="5"/>
  <c r="O66" i="5"/>
  <c r="N66" i="5"/>
  <c r="M66" i="5"/>
  <c r="L66" i="5"/>
  <c r="K66" i="5"/>
  <c r="J66" i="5"/>
  <c r="I66" i="5"/>
  <c r="H66" i="5"/>
  <c r="G66" i="5"/>
  <c r="F66" i="5"/>
  <c r="E66" i="5"/>
  <c r="D66" i="5"/>
  <c r="AG65" i="5"/>
  <c r="AF65" i="5"/>
  <c r="AF69" i="5" s="1"/>
  <c r="AE65" i="5"/>
  <c r="AE69" i="5" s="1"/>
  <c r="AD65" i="5"/>
  <c r="AD69" i="5" s="1"/>
  <c r="AC65" i="5"/>
  <c r="AC69" i="5" s="1"/>
  <c r="AB65" i="5"/>
  <c r="AB69" i="5" s="1"/>
  <c r="AA65" i="5"/>
  <c r="AA69" i="5" s="1"/>
  <c r="Z65" i="5"/>
  <c r="Y65" i="5"/>
  <c r="X65" i="5"/>
  <c r="X69" i="5" s="1"/>
  <c r="W65" i="5"/>
  <c r="W69" i="5" s="1"/>
  <c r="V65" i="5"/>
  <c r="V69" i="5" s="1"/>
  <c r="U65" i="5"/>
  <c r="U67" i="5" s="1"/>
  <c r="T65" i="5"/>
  <c r="T69" i="5" s="1"/>
  <c r="S65" i="5"/>
  <c r="S69" i="5" s="1"/>
  <c r="R65" i="5"/>
  <c r="Q65" i="5"/>
  <c r="P65" i="5"/>
  <c r="P69" i="5" s="1"/>
  <c r="O65" i="5"/>
  <c r="O69" i="5" s="1"/>
  <c r="N65" i="5"/>
  <c r="N69" i="5" s="1"/>
  <c r="M65" i="5"/>
  <c r="M69" i="5" s="1"/>
  <c r="L65" i="5"/>
  <c r="L69" i="5" s="1"/>
  <c r="K65" i="5"/>
  <c r="K69" i="5" s="1"/>
  <c r="J65" i="5"/>
  <c r="I65" i="5"/>
  <c r="H65" i="5"/>
  <c r="H69" i="5" s="1"/>
  <c r="G65" i="5"/>
  <c r="G69" i="5" s="1"/>
  <c r="F65" i="5"/>
  <c r="F69" i="5" s="1"/>
  <c r="E65" i="5"/>
  <c r="E67" i="5" s="1"/>
  <c r="D65" i="5"/>
  <c r="D69" i="5" s="1"/>
  <c r="AG59" i="5"/>
  <c r="AF59" i="5"/>
  <c r="AE59" i="5"/>
  <c r="AD59" i="5"/>
  <c r="AC59" i="5"/>
  <c r="AB59" i="5"/>
  <c r="AA59" i="5"/>
  <c r="Z59" i="5"/>
  <c r="Y59" i="5"/>
  <c r="X59" i="5"/>
  <c r="W59" i="5"/>
  <c r="V59" i="5"/>
  <c r="U59" i="5"/>
  <c r="T59" i="5"/>
  <c r="S59" i="5"/>
  <c r="R59" i="5"/>
  <c r="Q59" i="5"/>
  <c r="P59" i="5"/>
  <c r="O59" i="5"/>
  <c r="N59" i="5"/>
  <c r="M59" i="5"/>
  <c r="L59" i="5"/>
  <c r="K59" i="5"/>
  <c r="J59" i="5"/>
  <c r="I59" i="5"/>
  <c r="H59" i="5"/>
  <c r="G59" i="5"/>
  <c r="F59" i="5"/>
  <c r="E59" i="5"/>
  <c r="D59" i="5"/>
  <c r="AG58" i="5"/>
  <c r="AG62" i="5" s="1"/>
  <c r="AF58" i="5"/>
  <c r="AE58" i="5"/>
  <c r="AE62" i="5" s="1"/>
  <c r="AD58" i="5"/>
  <c r="AD62" i="5" s="1"/>
  <c r="AC58" i="5"/>
  <c r="AC62" i="5" s="1"/>
  <c r="AB58" i="5"/>
  <c r="AA58" i="5"/>
  <c r="AA62" i="5" s="1"/>
  <c r="Z58" i="5"/>
  <c r="Z62" i="5" s="1"/>
  <c r="Y58" i="5"/>
  <c r="Y62" i="5" s="1"/>
  <c r="X58" i="5"/>
  <c r="W58" i="5"/>
  <c r="W62" i="5" s="1"/>
  <c r="V58" i="5"/>
  <c r="V62" i="5" s="1"/>
  <c r="U58" i="5"/>
  <c r="T58" i="5"/>
  <c r="S58" i="5"/>
  <c r="S62" i="5" s="1"/>
  <c r="R58" i="5"/>
  <c r="R62" i="5" s="1"/>
  <c r="Q58" i="5"/>
  <c r="Q60" i="5" s="1"/>
  <c r="P58" i="5"/>
  <c r="O58" i="5"/>
  <c r="O62" i="5" s="1"/>
  <c r="N58" i="5"/>
  <c r="N62" i="5" s="1"/>
  <c r="M58" i="5"/>
  <c r="M62" i="5" s="1"/>
  <c r="L58" i="5"/>
  <c r="K58" i="5"/>
  <c r="K62" i="5" s="1"/>
  <c r="J58" i="5"/>
  <c r="J62" i="5" s="1"/>
  <c r="I58" i="5"/>
  <c r="I60" i="5" s="1"/>
  <c r="H58" i="5"/>
  <c r="G58" i="5"/>
  <c r="G62" i="5" s="1"/>
  <c r="F58" i="5"/>
  <c r="F62" i="5" s="1"/>
  <c r="E58" i="5"/>
  <c r="E62" i="5" s="1"/>
  <c r="D58" i="5"/>
  <c r="AG52" i="5"/>
  <c r="AF52" i="5"/>
  <c r="AE52" i="5"/>
  <c r="AD52" i="5"/>
  <c r="AC52" i="5"/>
  <c r="AB52" i="5"/>
  <c r="AA52" i="5"/>
  <c r="Z52" i="5"/>
  <c r="Y52" i="5"/>
  <c r="X52" i="5"/>
  <c r="W52" i="5"/>
  <c r="V52" i="5"/>
  <c r="U52" i="5"/>
  <c r="T52" i="5"/>
  <c r="S52" i="5"/>
  <c r="R52" i="5"/>
  <c r="Q52" i="5"/>
  <c r="P52" i="5"/>
  <c r="O52" i="5"/>
  <c r="N52" i="5"/>
  <c r="M52" i="5"/>
  <c r="L52" i="5"/>
  <c r="K52" i="5"/>
  <c r="J52" i="5"/>
  <c r="I52" i="5"/>
  <c r="H52" i="5"/>
  <c r="G52" i="5"/>
  <c r="F52" i="5"/>
  <c r="E52" i="5"/>
  <c r="D52" i="5"/>
  <c r="AG51" i="5"/>
  <c r="AG53" i="5" s="1"/>
  <c r="AF51" i="5"/>
  <c r="AE51" i="5"/>
  <c r="AE55" i="5" s="1"/>
  <c r="AD51" i="5"/>
  <c r="AD55" i="5" s="1"/>
  <c r="AC51" i="5"/>
  <c r="AC55" i="5" s="1"/>
  <c r="AB51" i="5"/>
  <c r="AA51" i="5"/>
  <c r="AA55" i="5" s="1"/>
  <c r="Z51" i="5"/>
  <c r="Z55" i="5" s="1"/>
  <c r="Y51" i="5"/>
  <c r="Y53" i="5" s="1"/>
  <c r="X51" i="5"/>
  <c r="W51" i="5"/>
  <c r="W55" i="5" s="1"/>
  <c r="V51" i="5"/>
  <c r="V55" i="5" s="1"/>
  <c r="U51" i="5"/>
  <c r="U55" i="5" s="1"/>
  <c r="T51" i="5"/>
  <c r="S51" i="5"/>
  <c r="S55" i="5" s="1"/>
  <c r="R51" i="5"/>
  <c r="R55" i="5" s="1"/>
  <c r="Q51" i="5"/>
  <c r="Q53" i="5" s="1"/>
  <c r="P51" i="5"/>
  <c r="O51" i="5"/>
  <c r="O55" i="5" s="1"/>
  <c r="N51" i="5"/>
  <c r="N55" i="5" s="1"/>
  <c r="M51" i="5"/>
  <c r="M55" i="5" s="1"/>
  <c r="L51" i="5"/>
  <c r="K51" i="5"/>
  <c r="K55" i="5" s="1"/>
  <c r="J51" i="5"/>
  <c r="J55" i="5" s="1"/>
  <c r="I51" i="5"/>
  <c r="I53" i="5" s="1"/>
  <c r="H51" i="5"/>
  <c r="G51" i="5"/>
  <c r="G55" i="5" s="1"/>
  <c r="F51" i="5"/>
  <c r="F55" i="5" s="1"/>
  <c r="E51" i="5"/>
  <c r="E55" i="5" s="1"/>
  <c r="D51" i="5"/>
  <c r="AG45" i="5"/>
  <c r="AF45" i="5"/>
  <c r="AE45" i="5"/>
  <c r="AD45" i="5"/>
  <c r="AC45" i="5"/>
  <c r="AB45" i="5"/>
  <c r="AA45" i="5"/>
  <c r="Z45" i="5"/>
  <c r="Y45" i="5"/>
  <c r="X45" i="5"/>
  <c r="W45" i="5"/>
  <c r="V45" i="5"/>
  <c r="U45" i="5"/>
  <c r="T45" i="5"/>
  <c r="S45" i="5"/>
  <c r="R45" i="5"/>
  <c r="Q45" i="5"/>
  <c r="P45" i="5"/>
  <c r="O45" i="5"/>
  <c r="N45" i="5"/>
  <c r="M45" i="5"/>
  <c r="L45" i="5"/>
  <c r="K45" i="5"/>
  <c r="J45" i="5"/>
  <c r="I45" i="5"/>
  <c r="H45" i="5"/>
  <c r="G45" i="5"/>
  <c r="F45" i="5"/>
  <c r="E45" i="5"/>
  <c r="D45" i="5"/>
  <c r="AG44" i="5"/>
  <c r="AG46" i="5" s="1"/>
  <c r="AF44" i="5"/>
  <c r="AE44" i="5"/>
  <c r="AE47" i="5" s="1"/>
  <c r="AD44" i="5"/>
  <c r="AD49" i="5" s="1"/>
  <c r="AC44" i="5"/>
  <c r="AC48" i="5" s="1"/>
  <c r="AB44" i="5"/>
  <c r="AB46" i="5" s="1"/>
  <c r="AA44" i="5"/>
  <c r="AA49" i="5" s="1"/>
  <c r="Z44" i="5"/>
  <c r="Z47" i="5" s="1"/>
  <c r="Y44" i="5"/>
  <c r="Y46" i="5" s="1"/>
  <c r="X44" i="5"/>
  <c r="W44" i="5"/>
  <c r="W47" i="5" s="1"/>
  <c r="V44" i="5"/>
  <c r="V49" i="5" s="1"/>
  <c r="U44" i="5"/>
  <c r="U48" i="5" s="1"/>
  <c r="T44" i="5"/>
  <c r="T46" i="5" s="1"/>
  <c r="S44" i="5"/>
  <c r="S49" i="5" s="1"/>
  <c r="R44" i="5"/>
  <c r="R47" i="5" s="1"/>
  <c r="Q44" i="5"/>
  <c r="Q46" i="5" s="1"/>
  <c r="P44" i="5"/>
  <c r="O44" i="5"/>
  <c r="O47" i="5" s="1"/>
  <c r="N44" i="5"/>
  <c r="N48" i="5" s="1"/>
  <c r="M44" i="5"/>
  <c r="M48" i="5" s="1"/>
  <c r="L44" i="5"/>
  <c r="L46" i="5" s="1"/>
  <c r="K44" i="5"/>
  <c r="K48" i="5" s="1"/>
  <c r="J44" i="5"/>
  <c r="J48" i="5" s="1"/>
  <c r="I44" i="5"/>
  <c r="H44" i="5"/>
  <c r="H48" i="5" s="1"/>
  <c r="G44" i="5"/>
  <c r="G48" i="5" s="1"/>
  <c r="F44" i="5"/>
  <c r="F48" i="5" s="1"/>
  <c r="E44" i="5"/>
  <c r="E48" i="5" s="1"/>
  <c r="D44" i="5"/>
  <c r="AG38" i="5"/>
  <c r="AF38" i="5"/>
  <c r="AE38" i="5"/>
  <c r="AD38" i="5"/>
  <c r="AC38" i="5"/>
  <c r="AB38" i="5"/>
  <c r="AA38" i="5"/>
  <c r="Z38" i="5"/>
  <c r="Y38" i="5"/>
  <c r="X38" i="5"/>
  <c r="W38" i="5"/>
  <c r="V38" i="5"/>
  <c r="U38" i="5"/>
  <c r="T38" i="5"/>
  <c r="S38" i="5"/>
  <c r="R38" i="5"/>
  <c r="Q38" i="5"/>
  <c r="P38" i="5"/>
  <c r="O38" i="5"/>
  <c r="N38" i="5"/>
  <c r="M38" i="5"/>
  <c r="L38" i="5"/>
  <c r="K38" i="5"/>
  <c r="J38" i="5"/>
  <c r="I38" i="5"/>
  <c r="H38" i="5"/>
  <c r="G38" i="5"/>
  <c r="F38" i="5"/>
  <c r="E38" i="5"/>
  <c r="D38" i="5"/>
  <c r="AG37" i="5"/>
  <c r="AG42" i="5" s="1"/>
  <c r="AF37" i="5"/>
  <c r="AF42" i="5" s="1"/>
  <c r="AE37" i="5"/>
  <c r="AE41" i="5" s="1"/>
  <c r="AD37" i="5"/>
  <c r="AD41" i="5" s="1"/>
  <c r="AC37" i="5"/>
  <c r="AC42" i="5" s="1"/>
  <c r="AB37" i="5"/>
  <c r="AB42" i="5" s="1"/>
  <c r="AA37" i="5"/>
  <c r="AA41" i="5" s="1"/>
  <c r="Z37" i="5"/>
  <c r="Z41" i="5" s="1"/>
  <c r="Y37" i="5"/>
  <c r="Y42" i="5" s="1"/>
  <c r="X37" i="5"/>
  <c r="X42" i="5" s="1"/>
  <c r="W37" i="5"/>
  <c r="W41" i="5" s="1"/>
  <c r="V37" i="5"/>
  <c r="V41" i="5" s="1"/>
  <c r="U37" i="5"/>
  <c r="U42" i="5" s="1"/>
  <c r="T37" i="5"/>
  <c r="T42" i="5" s="1"/>
  <c r="S37" i="5"/>
  <c r="S41" i="5" s="1"/>
  <c r="R37" i="5"/>
  <c r="R41" i="5" s="1"/>
  <c r="Q37" i="5"/>
  <c r="Q42" i="5" s="1"/>
  <c r="P37" i="5"/>
  <c r="P41" i="5" s="1"/>
  <c r="O37" i="5"/>
  <c r="O41" i="5" s="1"/>
  <c r="N37" i="5"/>
  <c r="N41" i="5" s="1"/>
  <c r="M37" i="5"/>
  <c r="M42" i="5" s="1"/>
  <c r="L37" i="5"/>
  <c r="L42" i="5" s="1"/>
  <c r="K37" i="5"/>
  <c r="K41" i="5" s="1"/>
  <c r="J37" i="5"/>
  <c r="J41" i="5" s="1"/>
  <c r="I37" i="5"/>
  <c r="I42" i="5" s="1"/>
  <c r="H37" i="5"/>
  <c r="H42" i="5" s="1"/>
  <c r="G37" i="5"/>
  <c r="G41" i="5" s="1"/>
  <c r="F37" i="5"/>
  <c r="F41" i="5" s="1"/>
  <c r="E37" i="5"/>
  <c r="E42" i="5" s="1"/>
  <c r="D37" i="5"/>
  <c r="D42" i="5" s="1"/>
  <c r="AG31" i="5"/>
  <c r="AF31" i="5"/>
  <c r="AE31" i="5"/>
  <c r="AD31" i="5"/>
  <c r="AC31" i="5"/>
  <c r="AB31" i="5"/>
  <c r="AA31" i="5"/>
  <c r="Z31" i="5"/>
  <c r="Y31" i="5"/>
  <c r="X31" i="5"/>
  <c r="W31" i="5"/>
  <c r="V31" i="5"/>
  <c r="U31" i="5"/>
  <c r="T31" i="5"/>
  <c r="S31" i="5"/>
  <c r="R31" i="5"/>
  <c r="Q31" i="5"/>
  <c r="P31" i="5"/>
  <c r="O31" i="5"/>
  <c r="N31" i="5"/>
  <c r="M31" i="5"/>
  <c r="L31" i="5"/>
  <c r="K31" i="5"/>
  <c r="J31" i="5"/>
  <c r="I31" i="5"/>
  <c r="H31" i="5"/>
  <c r="G31" i="5"/>
  <c r="F31" i="5"/>
  <c r="E31" i="5"/>
  <c r="D31" i="5"/>
  <c r="AG30" i="5"/>
  <c r="AG35" i="5" s="1"/>
  <c r="AF30" i="5"/>
  <c r="AF35" i="5" s="1"/>
  <c r="AE30" i="5"/>
  <c r="AE34" i="5" s="1"/>
  <c r="AD30" i="5"/>
  <c r="AD34" i="5" s="1"/>
  <c r="AC30" i="5"/>
  <c r="AC35" i="5" s="1"/>
  <c r="AB30" i="5"/>
  <c r="AB35" i="5" s="1"/>
  <c r="AA30" i="5"/>
  <c r="AA34" i="5" s="1"/>
  <c r="Z30" i="5"/>
  <c r="Z34" i="5" s="1"/>
  <c r="Y30" i="5"/>
  <c r="Y35" i="5" s="1"/>
  <c r="X30" i="5"/>
  <c r="X35" i="5" s="1"/>
  <c r="W30" i="5"/>
  <c r="W34" i="5" s="1"/>
  <c r="V30" i="5"/>
  <c r="V34" i="5" s="1"/>
  <c r="U30" i="5"/>
  <c r="U35" i="5" s="1"/>
  <c r="T30" i="5"/>
  <c r="T35" i="5" s="1"/>
  <c r="S30" i="5"/>
  <c r="S34" i="5" s="1"/>
  <c r="R30" i="5"/>
  <c r="R34" i="5" s="1"/>
  <c r="Q30" i="5"/>
  <c r="Q35" i="5" s="1"/>
  <c r="P30" i="5"/>
  <c r="P35" i="5" s="1"/>
  <c r="O30" i="5"/>
  <c r="O34" i="5" s="1"/>
  <c r="N30" i="5"/>
  <c r="N34" i="5" s="1"/>
  <c r="M30" i="5"/>
  <c r="M35" i="5" s="1"/>
  <c r="L30" i="5"/>
  <c r="L34" i="5" s="1"/>
  <c r="K30" i="5"/>
  <c r="K34" i="5" s="1"/>
  <c r="J30" i="5"/>
  <c r="J34" i="5" s="1"/>
  <c r="I30" i="5"/>
  <c r="I35" i="5" s="1"/>
  <c r="H30" i="5"/>
  <c r="H35" i="5" s="1"/>
  <c r="G30" i="5"/>
  <c r="G34" i="5" s="1"/>
  <c r="F30" i="5"/>
  <c r="F34" i="5" s="1"/>
  <c r="E30" i="5"/>
  <c r="E35" i="5" s="1"/>
  <c r="D30" i="5"/>
  <c r="D35" i="5" s="1"/>
  <c r="AG24" i="5"/>
  <c r="AF24" i="5"/>
  <c r="AE24" i="5"/>
  <c r="AD24" i="5"/>
  <c r="AC24" i="5"/>
  <c r="AB24" i="5"/>
  <c r="AA24" i="5"/>
  <c r="Z24" i="5"/>
  <c r="Y24" i="5"/>
  <c r="X24" i="5"/>
  <c r="W24" i="5"/>
  <c r="V24" i="5"/>
  <c r="U24" i="5"/>
  <c r="T24" i="5"/>
  <c r="S24" i="5"/>
  <c r="R24" i="5"/>
  <c r="Q24" i="5"/>
  <c r="P24" i="5"/>
  <c r="O24" i="5"/>
  <c r="N24" i="5"/>
  <c r="M24" i="5"/>
  <c r="L24" i="5"/>
  <c r="K24" i="5"/>
  <c r="J24" i="5"/>
  <c r="I24" i="5"/>
  <c r="H24" i="5"/>
  <c r="G24" i="5"/>
  <c r="F24" i="5"/>
  <c r="E24" i="5"/>
  <c r="D24" i="5"/>
  <c r="AG23" i="5"/>
  <c r="AG28" i="5" s="1"/>
  <c r="AF23" i="5"/>
  <c r="AF28" i="5" s="1"/>
  <c r="AE23" i="5"/>
  <c r="AE27" i="5" s="1"/>
  <c r="AD23" i="5"/>
  <c r="AD27" i="5" s="1"/>
  <c r="AC23" i="5"/>
  <c r="AC28" i="5" s="1"/>
  <c r="AB23" i="5"/>
  <c r="AB28" i="5" s="1"/>
  <c r="AA23" i="5"/>
  <c r="AA27" i="5" s="1"/>
  <c r="Z23" i="5"/>
  <c r="Z27" i="5" s="1"/>
  <c r="Y23" i="5"/>
  <c r="Y28" i="5" s="1"/>
  <c r="X23" i="5"/>
  <c r="X28" i="5" s="1"/>
  <c r="W23" i="5"/>
  <c r="W27" i="5" s="1"/>
  <c r="V23" i="5"/>
  <c r="V27" i="5" s="1"/>
  <c r="U23" i="5"/>
  <c r="U28" i="5" s="1"/>
  <c r="T23" i="5"/>
  <c r="T27" i="5" s="1"/>
  <c r="S23" i="5"/>
  <c r="S27" i="5" s="1"/>
  <c r="R23" i="5"/>
  <c r="R27" i="5" s="1"/>
  <c r="Q23" i="5"/>
  <c r="Q28" i="5" s="1"/>
  <c r="P23" i="5"/>
  <c r="P28" i="5" s="1"/>
  <c r="O23" i="5"/>
  <c r="O27" i="5" s="1"/>
  <c r="N23" i="5"/>
  <c r="N27" i="5" s="1"/>
  <c r="M23" i="5"/>
  <c r="M28" i="5" s="1"/>
  <c r="L23" i="5"/>
  <c r="L28" i="5" s="1"/>
  <c r="K23" i="5"/>
  <c r="K27" i="5" s="1"/>
  <c r="J23" i="5"/>
  <c r="J27" i="5" s="1"/>
  <c r="I23" i="5"/>
  <c r="I28" i="5" s="1"/>
  <c r="H23" i="5"/>
  <c r="H28" i="5" s="1"/>
  <c r="G23" i="5"/>
  <c r="G27" i="5" s="1"/>
  <c r="F23" i="5"/>
  <c r="F27" i="5" s="1"/>
  <c r="E23" i="5"/>
  <c r="E28" i="5" s="1"/>
  <c r="D23" i="5"/>
  <c r="D27" i="5" s="1"/>
  <c r="G19" i="5"/>
  <c r="AG17" i="5"/>
  <c r="AF17" i="5"/>
  <c r="AE17" i="5"/>
  <c r="AD17" i="5"/>
  <c r="AC17" i="5"/>
  <c r="AB17" i="5"/>
  <c r="AA17" i="5"/>
  <c r="Z17" i="5"/>
  <c r="Y17" i="5"/>
  <c r="X17" i="5"/>
  <c r="W17" i="5"/>
  <c r="V17" i="5"/>
  <c r="U17" i="5"/>
  <c r="T17" i="5"/>
  <c r="S17" i="5"/>
  <c r="R17" i="5"/>
  <c r="Q17" i="5"/>
  <c r="P17" i="5"/>
  <c r="O17" i="5"/>
  <c r="N17" i="5"/>
  <c r="M17" i="5"/>
  <c r="L17" i="5"/>
  <c r="K17" i="5"/>
  <c r="J17" i="5"/>
  <c r="I17" i="5"/>
  <c r="H17" i="5"/>
  <c r="G17" i="5"/>
  <c r="F17" i="5"/>
  <c r="E17" i="5"/>
  <c r="D17" i="5"/>
  <c r="AG16" i="5"/>
  <c r="AG21" i="5" s="1"/>
  <c r="AF16" i="5"/>
  <c r="AF21" i="5" s="1"/>
  <c r="AE16" i="5"/>
  <c r="AE20" i="5" s="1"/>
  <c r="AD16" i="5"/>
  <c r="AD20" i="5" s="1"/>
  <c r="AC16" i="5"/>
  <c r="AC21" i="5" s="1"/>
  <c r="AB16" i="5"/>
  <c r="AB20" i="5" s="1"/>
  <c r="AA16" i="5"/>
  <c r="AA20" i="5" s="1"/>
  <c r="Z16" i="5"/>
  <c r="Z20" i="5" s="1"/>
  <c r="Y16" i="5"/>
  <c r="Y21" i="5" s="1"/>
  <c r="X16" i="5"/>
  <c r="X18" i="5" s="1"/>
  <c r="W16" i="5"/>
  <c r="W20" i="5" s="1"/>
  <c r="V16" i="5"/>
  <c r="V20" i="5" s="1"/>
  <c r="U16" i="5"/>
  <c r="U21" i="5" s="1"/>
  <c r="T16" i="5"/>
  <c r="T21" i="5" s="1"/>
  <c r="S16" i="5"/>
  <c r="S20" i="5" s="1"/>
  <c r="R16" i="5"/>
  <c r="R20" i="5" s="1"/>
  <c r="Q16" i="5"/>
  <c r="Q21" i="5" s="1"/>
  <c r="P16" i="5"/>
  <c r="P21" i="5" s="1"/>
  <c r="O16" i="5"/>
  <c r="O20" i="5" s="1"/>
  <c r="N16" i="5"/>
  <c r="N20" i="5" s="1"/>
  <c r="M16" i="5"/>
  <c r="M21" i="5" s="1"/>
  <c r="L16" i="5"/>
  <c r="L18" i="5" s="1"/>
  <c r="K16" i="5"/>
  <c r="K20" i="5" s="1"/>
  <c r="J16" i="5"/>
  <c r="J20" i="5" s="1"/>
  <c r="I16" i="5"/>
  <c r="I21" i="5" s="1"/>
  <c r="H16" i="5"/>
  <c r="H21" i="5" s="1"/>
  <c r="G16" i="5"/>
  <c r="G20" i="5" s="1"/>
  <c r="F16" i="5"/>
  <c r="F20" i="5" s="1"/>
  <c r="E16" i="5"/>
  <c r="E21" i="5" s="1"/>
  <c r="D16" i="5"/>
  <c r="D21" i="5" s="1"/>
  <c r="B63" i="4"/>
  <c r="K21" i="5" l="1"/>
  <c r="AE19" i="5"/>
  <c r="G74" i="5"/>
  <c r="G13" i="6" s="1"/>
  <c r="K74" i="5"/>
  <c r="K13" i="6" s="1"/>
  <c r="K73" i="6" s="1"/>
  <c r="O74" i="5"/>
  <c r="O13" i="6" s="1"/>
  <c r="O73" i="6" s="1"/>
  <c r="S74" i="5"/>
  <c r="S13" i="6" s="1"/>
  <c r="W74" i="5"/>
  <c r="W13" i="6" s="1"/>
  <c r="AA74" i="5"/>
  <c r="AA13" i="6" s="1"/>
  <c r="AA73" i="6" s="1"/>
  <c r="AE74" i="5"/>
  <c r="AE13" i="6" s="1"/>
  <c r="O19" i="5"/>
  <c r="S21" i="5"/>
  <c r="W19" i="5"/>
  <c r="AA21" i="5"/>
  <c r="J19" i="5"/>
  <c r="R19" i="5"/>
  <c r="Z19" i="5"/>
  <c r="F21" i="5"/>
  <c r="N21" i="5"/>
  <c r="V21" i="5"/>
  <c r="AD21" i="5"/>
  <c r="K19" i="5"/>
  <c r="G21" i="5"/>
  <c r="AE21" i="5"/>
  <c r="S19" i="5"/>
  <c r="AA19" i="5"/>
  <c r="O21" i="5"/>
  <c r="W21" i="5"/>
  <c r="F19" i="5"/>
  <c r="N19" i="5"/>
  <c r="V19" i="5"/>
  <c r="AD19" i="5"/>
  <c r="J21" i="5"/>
  <c r="R21" i="5"/>
  <c r="Z21" i="5"/>
  <c r="AA56" i="5"/>
  <c r="G113" i="6"/>
  <c r="P37" i="6"/>
  <c r="N26" i="5"/>
  <c r="Q62" i="5"/>
  <c r="AE73" i="6"/>
  <c r="AE81" i="6" s="1"/>
  <c r="AD47" i="5"/>
  <c r="J28" i="5"/>
  <c r="D29" i="6"/>
  <c r="R28" i="5"/>
  <c r="N49" i="5"/>
  <c r="F26" i="5"/>
  <c r="AD40" i="5"/>
  <c r="W54" i="5"/>
  <c r="AD70" i="5"/>
  <c r="Z35" i="5"/>
  <c r="W61" i="5"/>
  <c r="O63" i="5"/>
  <c r="F77" i="5"/>
  <c r="N77" i="5"/>
  <c r="D74" i="5"/>
  <c r="D13" i="6" s="1"/>
  <c r="D73" i="6" s="1"/>
  <c r="D77" i="6" s="1"/>
  <c r="H74" i="5"/>
  <c r="H13" i="6" s="1"/>
  <c r="H73" i="6" s="1"/>
  <c r="H85" i="6" s="1"/>
  <c r="L74" i="5"/>
  <c r="L13" i="6" s="1"/>
  <c r="L73" i="6" s="1"/>
  <c r="L85" i="6" s="1"/>
  <c r="V26" i="5"/>
  <c r="Z28" i="5"/>
  <c r="AD33" i="5"/>
  <c r="F40" i="5"/>
  <c r="J42" i="5"/>
  <c r="W49" i="5"/>
  <c r="N54" i="5"/>
  <c r="AD54" i="5"/>
  <c r="J56" i="5"/>
  <c r="N61" i="5"/>
  <c r="AD61" i="5"/>
  <c r="V63" i="5"/>
  <c r="T29" i="6"/>
  <c r="AF37" i="6"/>
  <c r="V33" i="5"/>
  <c r="F54" i="5"/>
  <c r="G61" i="5"/>
  <c r="G77" i="5"/>
  <c r="K77" i="5"/>
  <c r="E74" i="5"/>
  <c r="E13" i="6" s="1"/>
  <c r="E73" i="6" s="1"/>
  <c r="E93" i="6" s="1"/>
  <c r="I74" i="5"/>
  <c r="I13" i="6" s="1"/>
  <c r="I73" i="6" s="1"/>
  <c r="M74" i="5"/>
  <c r="M13" i="6" s="1"/>
  <c r="M73" i="6" s="1"/>
  <c r="Q74" i="5"/>
  <c r="Q13" i="6" s="1"/>
  <c r="Q73" i="6" s="1"/>
  <c r="U74" i="5"/>
  <c r="U13" i="6" s="1"/>
  <c r="U73" i="6" s="1"/>
  <c r="U14" i="6" s="1"/>
  <c r="U20" i="6" s="1"/>
  <c r="Y74" i="5"/>
  <c r="Y13" i="6" s="1"/>
  <c r="AC74" i="5"/>
  <c r="AC13" i="6" s="1"/>
  <c r="AC73" i="6" s="1"/>
  <c r="AG74" i="5"/>
  <c r="AG13" i="6" s="1"/>
  <c r="AG73" i="6" s="1"/>
  <c r="AD26" i="5"/>
  <c r="F33" i="5"/>
  <c r="J35" i="5"/>
  <c r="N40" i="5"/>
  <c r="R42" i="5"/>
  <c r="J47" i="5"/>
  <c r="O54" i="5"/>
  <c r="AE54" i="5"/>
  <c r="R56" i="5"/>
  <c r="Y60" i="5"/>
  <c r="O61" i="5"/>
  <c r="AE61" i="5"/>
  <c r="F63" i="5"/>
  <c r="W63" i="5"/>
  <c r="F68" i="5"/>
  <c r="F30" i="6"/>
  <c r="N34" i="6"/>
  <c r="R38" i="6"/>
  <c r="AE55" i="6"/>
  <c r="AE56" i="6" s="1"/>
  <c r="AE63" i="5"/>
  <c r="N33" i="5"/>
  <c r="R35" i="5"/>
  <c r="V40" i="5"/>
  <c r="Z42" i="5"/>
  <c r="S47" i="5"/>
  <c r="G49" i="5"/>
  <c r="V54" i="5"/>
  <c r="Z56" i="5"/>
  <c r="F61" i="5"/>
  <c r="V61" i="5"/>
  <c r="N63" i="5"/>
  <c r="AD63" i="5"/>
  <c r="V30" i="6"/>
  <c r="AD34" i="6"/>
  <c r="Y45" i="6"/>
  <c r="F74" i="5"/>
  <c r="F13" i="6" s="1"/>
  <c r="F73" i="6" s="1"/>
  <c r="F85" i="6" s="1"/>
  <c r="N74" i="5"/>
  <c r="N13" i="6" s="1"/>
  <c r="N73" i="6" s="1"/>
  <c r="N81" i="6" s="1"/>
  <c r="V74" i="5"/>
  <c r="V13" i="6" s="1"/>
  <c r="V73" i="6" s="1"/>
  <c r="V93" i="6" s="1"/>
  <c r="AD74" i="5"/>
  <c r="AD13" i="6" s="1"/>
  <c r="AD73" i="6" s="1"/>
  <c r="AD89" i="6" s="1"/>
  <c r="J69" i="5"/>
  <c r="J77" i="5" s="1"/>
  <c r="J70" i="5"/>
  <c r="J68" i="5"/>
  <c r="Z69" i="5"/>
  <c r="Z70" i="5"/>
  <c r="Z68" i="5"/>
  <c r="N68" i="5"/>
  <c r="D31" i="6"/>
  <c r="D33" i="6"/>
  <c r="D39" i="6"/>
  <c r="L39" i="6"/>
  <c r="L31" i="6"/>
  <c r="T31" i="6"/>
  <c r="T33" i="6"/>
  <c r="T39" i="6"/>
  <c r="AB39" i="6"/>
  <c r="AB31" i="6"/>
  <c r="AF39" i="6"/>
  <c r="AF31" i="6"/>
  <c r="AF33" i="6"/>
  <c r="AB33" i="6"/>
  <c r="J74" i="5"/>
  <c r="J13" i="6" s="1"/>
  <c r="J73" i="6" s="1"/>
  <c r="J81" i="6" s="1"/>
  <c r="R74" i="5"/>
  <c r="R13" i="6" s="1"/>
  <c r="R73" i="6" s="1"/>
  <c r="Z74" i="5"/>
  <c r="Z13" i="6" s="1"/>
  <c r="Z73" i="6" s="1"/>
  <c r="Z89" i="6" s="1"/>
  <c r="R69" i="5"/>
  <c r="R70" i="5"/>
  <c r="R68" i="5"/>
  <c r="F70" i="5"/>
  <c r="F37" i="6"/>
  <c r="F32" i="6"/>
  <c r="F44" i="6"/>
  <c r="N37" i="6"/>
  <c r="N44" i="6"/>
  <c r="N32" i="6"/>
  <c r="R44" i="6"/>
  <c r="R32" i="6"/>
  <c r="V44" i="6"/>
  <c r="V32" i="6"/>
  <c r="AD44" i="6"/>
  <c r="AD32" i="6"/>
  <c r="H33" i="6"/>
  <c r="H39" i="6"/>
  <c r="P39" i="6"/>
  <c r="P31" i="6"/>
  <c r="P33" i="6"/>
  <c r="X33" i="6"/>
  <c r="X39" i="6"/>
  <c r="V68" i="5"/>
  <c r="N70" i="5"/>
  <c r="J32" i="6"/>
  <c r="AD68" i="5"/>
  <c r="V70" i="5"/>
  <c r="Z32" i="6"/>
  <c r="G73" i="6"/>
  <c r="G93" i="6" s="1"/>
  <c r="S73" i="6"/>
  <c r="S89" i="6" s="1"/>
  <c r="W73" i="6"/>
  <c r="W89" i="6" s="1"/>
  <c r="G26" i="5"/>
  <c r="O26" i="5"/>
  <c r="W26" i="5"/>
  <c r="AE26" i="5"/>
  <c r="K28" i="5"/>
  <c r="S28" i="5"/>
  <c r="AA28" i="5"/>
  <c r="G33" i="5"/>
  <c r="O33" i="5"/>
  <c r="W33" i="5"/>
  <c r="AE33" i="5"/>
  <c r="K35" i="5"/>
  <c r="S35" i="5"/>
  <c r="AA35" i="5"/>
  <c r="G40" i="5"/>
  <c r="O40" i="5"/>
  <c r="W40" i="5"/>
  <c r="AE40" i="5"/>
  <c r="K42" i="5"/>
  <c r="S42" i="5"/>
  <c r="AA42" i="5"/>
  <c r="K47" i="5"/>
  <c r="V47" i="5"/>
  <c r="F49" i="5"/>
  <c r="O49" i="5"/>
  <c r="Z49" i="5"/>
  <c r="G54" i="5"/>
  <c r="K56" i="5"/>
  <c r="S56" i="5"/>
  <c r="G63" i="5"/>
  <c r="G68" i="5"/>
  <c r="O68" i="5"/>
  <c r="W68" i="5"/>
  <c r="AE68" i="5"/>
  <c r="G70" i="5"/>
  <c r="O70" i="5"/>
  <c r="W70" i="5"/>
  <c r="AE70" i="5"/>
  <c r="H29" i="6"/>
  <c r="X29" i="6"/>
  <c r="J30" i="6"/>
  <c r="Z30" i="6"/>
  <c r="R34" i="6"/>
  <c r="D37" i="6"/>
  <c r="T37" i="6"/>
  <c r="F38" i="6"/>
  <c r="V38" i="6"/>
  <c r="P74" i="5"/>
  <c r="P13" i="6" s="1"/>
  <c r="P73" i="6" s="1"/>
  <c r="X74" i="5"/>
  <c r="X13" i="6" s="1"/>
  <c r="X73" i="6" s="1"/>
  <c r="X93" i="6" s="1"/>
  <c r="AF74" i="5"/>
  <c r="AF13" i="6" s="1"/>
  <c r="AF73" i="6" s="1"/>
  <c r="AF89" i="6" s="1"/>
  <c r="J26" i="5"/>
  <c r="R26" i="5"/>
  <c r="Z26" i="5"/>
  <c r="F28" i="5"/>
  <c r="N28" i="5"/>
  <c r="V28" i="5"/>
  <c r="AD28" i="5"/>
  <c r="J33" i="5"/>
  <c r="R33" i="5"/>
  <c r="Z33" i="5"/>
  <c r="F35" i="5"/>
  <c r="N35" i="5"/>
  <c r="V35" i="5"/>
  <c r="AD35" i="5"/>
  <c r="J40" i="5"/>
  <c r="R40" i="5"/>
  <c r="Z40" i="5"/>
  <c r="F42" i="5"/>
  <c r="N42" i="5"/>
  <c r="V42" i="5"/>
  <c r="AD42" i="5"/>
  <c r="N47" i="5"/>
  <c r="R49" i="5"/>
  <c r="J54" i="5"/>
  <c r="R54" i="5"/>
  <c r="Z54" i="5"/>
  <c r="F56" i="5"/>
  <c r="N56" i="5"/>
  <c r="V56" i="5"/>
  <c r="AD56" i="5"/>
  <c r="J61" i="5"/>
  <c r="R61" i="5"/>
  <c r="Z61" i="5"/>
  <c r="J63" i="5"/>
  <c r="R63" i="5"/>
  <c r="Z63" i="5"/>
  <c r="L29" i="6"/>
  <c r="AB29" i="6"/>
  <c r="N30" i="6"/>
  <c r="AD30" i="6"/>
  <c r="F34" i="6"/>
  <c r="V34" i="6"/>
  <c r="H37" i="6"/>
  <c r="X37" i="6"/>
  <c r="J38" i="6"/>
  <c r="Z38" i="6"/>
  <c r="W44" i="6"/>
  <c r="AG65" i="6"/>
  <c r="AG66" i="6" s="1"/>
  <c r="E113" i="6"/>
  <c r="T74" i="5"/>
  <c r="T13" i="6" s="1"/>
  <c r="T73" i="6" s="1"/>
  <c r="T93" i="6" s="1"/>
  <c r="AB74" i="5"/>
  <c r="AB13" i="6" s="1"/>
  <c r="AB73" i="6" s="1"/>
  <c r="AB85" i="6" s="1"/>
  <c r="Y73" i="6"/>
  <c r="Y81" i="6" s="1"/>
  <c r="K26" i="5"/>
  <c r="S26" i="5"/>
  <c r="AA26" i="5"/>
  <c r="G28" i="5"/>
  <c r="O28" i="5"/>
  <c r="W28" i="5"/>
  <c r="AE28" i="5"/>
  <c r="K33" i="5"/>
  <c r="S33" i="5"/>
  <c r="AA33" i="5"/>
  <c r="G35" i="5"/>
  <c r="O35" i="5"/>
  <c r="W35" i="5"/>
  <c r="AE35" i="5"/>
  <c r="K40" i="5"/>
  <c r="S40" i="5"/>
  <c r="AA40" i="5"/>
  <c r="G42" i="5"/>
  <c r="O42" i="5"/>
  <c r="W42" i="5"/>
  <c r="AE42" i="5"/>
  <c r="F47" i="5"/>
  <c r="AA47" i="5"/>
  <c r="J49" i="5"/>
  <c r="AE49" i="5"/>
  <c r="K54" i="5"/>
  <c r="S54" i="5"/>
  <c r="AA54" i="5"/>
  <c r="G56" i="5"/>
  <c r="O56" i="5"/>
  <c r="W56" i="5"/>
  <c r="AE56" i="5"/>
  <c r="AG60" i="5"/>
  <c r="K61" i="5"/>
  <c r="S61" i="5"/>
  <c r="AA61" i="5"/>
  <c r="K63" i="5"/>
  <c r="S63" i="5"/>
  <c r="AA63" i="5"/>
  <c r="K68" i="5"/>
  <c r="S68" i="5"/>
  <c r="AA68" i="5"/>
  <c r="K70" i="5"/>
  <c r="S70" i="5"/>
  <c r="AA70" i="5"/>
  <c r="P29" i="6"/>
  <c r="AF29" i="6"/>
  <c r="R30" i="6"/>
  <c r="J34" i="6"/>
  <c r="Z34" i="6"/>
  <c r="L37" i="6"/>
  <c r="AB37" i="6"/>
  <c r="N38" i="6"/>
  <c r="AD38" i="6"/>
  <c r="I45" i="6"/>
  <c r="G89" i="6"/>
  <c r="S77" i="6"/>
  <c r="N77" i="6"/>
  <c r="V81" i="6"/>
  <c r="V15" i="6"/>
  <c r="D18" i="5"/>
  <c r="P18" i="5"/>
  <c r="D20" i="5"/>
  <c r="H20" i="5"/>
  <c r="L20" i="5"/>
  <c r="P20" i="5"/>
  <c r="T20" i="5"/>
  <c r="X20" i="5"/>
  <c r="AF20" i="5"/>
  <c r="H25" i="5"/>
  <c r="L25" i="5"/>
  <c r="T25" i="5"/>
  <c r="X25" i="5"/>
  <c r="AB25" i="5"/>
  <c r="AF25" i="5"/>
  <c r="H27" i="5"/>
  <c r="P27" i="5"/>
  <c r="AB27" i="5"/>
  <c r="D32" i="5"/>
  <c r="L32" i="5"/>
  <c r="T32" i="5"/>
  <c r="AB32" i="5"/>
  <c r="D34" i="5"/>
  <c r="X34" i="5"/>
  <c r="AF34" i="5"/>
  <c r="D39" i="5"/>
  <c r="L39" i="5"/>
  <c r="T39" i="5"/>
  <c r="X39" i="5"/>
  <c r="AB39" i="5"/>
  <c r="AF39" i="5"/>
  <c r="H41" i="5"/>
  <c r="T41" i="5"/>
  <c r="AB41" i="5"/>
  <c r="AF41" i="5"/>
  <c r="D49" i="5"/>
  <c r="D47" i="5"/>
  <c r="P49" i="5"/>
  <c r="P47" i="5"/>
  <c r="X49" i="5"/>
  <c r="X47" i="5"/>
  <c r="AF49" i="5"/>
  <c r="AF47" i="5"/>
  <c r="D46" i="5"/>
  <c r="E89" i="6"/>
  <c r="E18" i="5"/>
  <c r="I20" i="5"/>
  <c r="Q20" i="5"/>
  <c r="E25" i="5"/>
  <c r="M25" i="5"/>
  <c r="U25" i="5"/>
  <c r="AC25" i="5"/>
  <c r="I27" i="5"/>
  <c r="U27" i="5"/>
  <c r="AC27" i="5"/>
  <c r="AG27" i="5"/>
  <c r="I32" i="5"/>
  <c r="Q32" i="5"/>
  <c r="Y32" i="5"/>
  <c r="AC32" i="5"/>
  <c r="AG32" i="5"/>
  <c r="E34" i="5"/>
  <c r="I34" i="5"/>
  <c r="M34" i="5"/>
  <c r="Q34" i="5"/>
  <c r="U34" i="5"/>
  <c r="Y34" i="5"/>
  <c r="AC34" i="5"/>
  <c r="AG34" i="5"/>
  <c r="E39" i="5"/>
  <c r="I39" i="5"/>
  <c r="M39" i="5"/>
  <c r="Q39" i="5"/>
  <c r="U39" i="5"/>
  <c r="Y39" i="5"/>
  <c r="AC39" i="5"/>
  <c r="AG39" i="5"/>
  <c r="E41" i="5"/>
  <c r="I41" i="5"/>
  <c r="M41" i="5"/>
  <c r="Q41" i="5"/>
  <c r="U41" i="5"/>
  <c r="Y41" i="5"/>
  <c r="AC41" i="5"/>
  <c r="AG41" i="5"/>
  <c r="E49" i="5"/>
  <c r="E47" i="5"/>
  <c r="I49" i="5"/>
  <c r="I47" i="5"/>
  <c r="M49" i="5"/>
  <c r="M47" i="5"/>
  <c r="Q49" i="5"/>
  <c r="Q47" i="5"/>
  <c r="U49" i="5"/>
  <c r="U47" i="5"/>
  <c r="Y49" i="5"/>
  <c r="Y47" i="5"/>
  <c r="AC49" i="5"/>
  <c r="AC47" i="5"/>
  <c r="AG49" i="5"/>
  <c r="AG47" i="5"/>
  <c r="E46" i="5"/>
  <c r="I46" i="5"/>
  <c r="M46" i="5"/>
  <c r="P48" i="5"/>
  <c r="X48" i="5"/>
  <c r="AF48" i="5"/>
  <c r="D56" i="5"/>
  <c r="D54" i="5"/>
  <c r="H56" i="5"/>
  <c r="H54" i="5"/>
  <c r="L56" i="5"/>
  <c r="L54" i="5"/>
  <c r="P56" i="5"/>
  <c r="P54" i="5"/>
  <c r="T56" i="5"/>
  <c r="T54" i="5"/>
  <c r="X56" i="5"/>
  <c r="X54" i="5"/>
  <c r="AB56" i="5"/>
  <c r="AB54" i="5"/>
  <c r="AF56" i="5"/>
  <c r="AF54" i="5"/>
  <c r="D53" i="5"/>
  <c r="L53" i="5"/>
  <c r="T53" i="5"/>
  <c r="AB53" i="5"/>
  <c r="H55" i="5"/>
  <c r="P55" i="5"/>
  <c r="X55" i="5"/>
  <c r="AF55" i="5"/>
  <c r="D63" i="5"/>
  <c r="D61" i="5"/>
  <c r="H63" i="5"/>
  <c r="H61" i="5"/>
  <c r="L63" i="5"/>
  <c r="L61" i="5"/>
  <c r="P62" i="5"/>
  <c r="P63" i="5"/>
  <c r="P61" i="5"/>
  <c r="T62" i="5"/>
  <c r="T63" i="5"/>
  <c r="T61" i="5"/>
  <c r="X62" i="5"/>
  <c r="X63" i="5"/>
  <c r="X61" i="5"/>
  <c r="AB62" i="5"/>
  <c r="AB63" i="5"/>
  <c r="AB61" i="5"/>
  <c r="AF62" i="5"/>
  <c r="AF63" i="5"/>
  <c r="AF61" i="5"/>
  <c r="D60" i="5"/>
  <c r="L60" i="5"/>
  <c r="T60" i="5"/>
  <c r="AB60" i="5"/>
  <c r="H62" i="5"/>
  <c r="E70" i="5"/>
  <c r="E68" i="5"/>
  <c r="I70" i="5"/>
  <c r="I68" i="5"/>
  <c r="M70" i="5"/>
  <c r="M68" i="5"/>
  <c r="Q70" i="5"/>
  <c r="Q68" i="5"/>
  <c r="U70" i="5"/>
  <c r="U68" i="5"/>
  <c r="Y70" i="5"/>
  <c r="Y68" i="5"/>
  <c r="AC70" i="5"/>
  <c r="AC68" i="5"/>
  <c r="AG70" i="5"/>
  <c r="AG68" i="5"/>
  <c r="I67" i="5"/>
  <c r="Y67" i="5"/>
  <c r="Q69" i="5"/>
  <c r="AG69" i="5"/>
  <c r="E44" i="6"/>
  <c r="E32" i="6"/>
  <c r="E37" i="6"/>
  <c r="E29" i="6"/>
  <c r="I44" i="6"/>
  <c r="I32" i="6"/>
  <c r="I37" i="6"/>
  <c r="I29" i="6"/>
  <c r="M44" i="6"/>
  <c r="M32" i="6"/>
  <c r="M37" i="6"/>
  <c r="M29" i="6"/>
  <c r="Q44" i="6"/>
  <c r="Q32" i="6"/>
  <c r="Q37" i="6"/>
  <c r="Q29" i="6"/>
  <c r="U44" i="6"/>
  <c r="U32" i="6"/>
  <c r="U37" i="6"/>
  <c r="U29" i="6"/>
  <c r="Y44" i="6"/>
  <c r="Y32" i="6"/>
  <c r="Y37" i="6"/>
  <c r="Y29" i="6"/>
  <c r="AC44" i="6"/>
  <c r="AC32" i="6"/>
  <c r="AC37" i="6"/>
  <c r="AC29" i="6"/>
  <c r="AG44" i="6"/>
  <c r="AG32" i="6"/>
  <c r="AG37" i="6"/>
  <c r="AG29" i="6"/>
  <c r="G45" i="6"/>
  <c r="G46" i="6"/>
  <c r="G39" i="6"/>
  <c r="G33" i="6"/>
  <c r="G31" i="6"/>
  <c r="G38" i="6"/>
  <c r="G34" i="6"/>
  <c r="G30" i="6"/>
  <c r="K45" i="6"/>
  <c r="K39" i="6"/>
  <c r="K33" i="6"/>
  <c r="K31" i="6"/>
  <c r="K38" i="6"/>
  <c r="K34" i="6"/>
  <c r="K30" i="6"/>
  <c r="O45" i="6"/>
  <c r="O39" i="6"/>
  <c r="O33" i="6"/>
  <c r="O31" i="6"/>
  <c r="O46" i="6"/>
  <c r="O38" i="6"/>
  <c r="O34" i="6"/>
  <c r="O30" i="6"/>
  <c r="S45" i="6"/>
  <c r="S39" i="6"/>
  <c r="S33" i="6"/>
  <c r="S31" i="6"/>
  <c r="S46" i="6"/>
  <c r="S38" i="6"/>
  <c r="S34" i="6"/>
  <c r="S30" i="6"/>
  <c r="W45" i="6"/>
  <c r="W46" i="6"/>
  <c r="W39" i="6"/>
  <c r="W33" i="6"/>
  <c r="W31" i="6"/>
  <c r="W38" i="6"/>
  <c r="W34" i="6"/>
  <c r="W30" i="6"/>
  <c r="AA45" i="6"/>
  <c r="AA39" i="6"/>
  <c r="AA33" i="6"/>
  <c r="AA31" i="6"/>
  <c r="AA38" i="6"/>
  <c r="AA34" i="6"/>
  <c r="AA30" i="6"/>
  <c r="AE45" i="6"/>
  <c r="AE39" i="6"/>
  <c r="AE33" i="6"/>
  <c r="AE31" i="6"/>
  <c r="AE46" i="6"/>
  <c r="AE38" i="6"/>
  <c r="AE34" i="6"/>
  <c r="AE30" i="6"/>
  <c r="AA46" i="6"/>
  <c r="R89" i="6"/>
  <c r="R81" i="6"/>
  <c r="R93" i="6"/>
  <c r="R85" i="6"/>
  <c r="R77" i="6"/>
  <c r="R15" i="6"/>
  <c r="R14" i="6"/>
  <c r="R20" i="6" s="1"/>
  <c r="Z85" i="6"/>
  <c r="H18" i="5"/>
  <c r="T18" i="5"/>
  <c r="AB18" i="5"/>
  <c r="AF18" i="5"/>
  <c r="D25" i="5"/>
  <c r="P25" i="5"/>
  <c r="L27" i="5"/>
  <c r="X27" i="5"/>
  <c r="AF27" i="5"/>
  <c r="H32" i="5"/>
  <c r="P32" i="5"/>
  <c r="X32" i="5"/>
  <c r="AF32" i="5"/>
  <c r="H34" i="5"/>
  <c r="P34" i="5"/>
  <c r="T34" i="5"/>
  <c r="AB34" i="5"/>
  <c r="H39" i="5"/>
  <c r="P39" i="5"/>
  <c r="D41" i="5"/>
  <c r="L41" i="5"/>
  <c r="X41" i="5"/>
  <c r="H49" i="5"/>
  <c r="H47" i="5"/>
  <c r="T49" i="5"/>
  <c r="T47" i="5"/>
  <c r="H46" i="5"/>
  <c r="U77" i="6"/>
  <c r="I18" i="5"/>
  <c r="M18" i="5"/>
  <c r="Q18" i="5"/>
  <c r="U18" i="5"/>
  <c r="Y18" i="5"/>
  <c r="AC18" i="5"/>
  <c r="AG18" i="5"/>
  <c r="M20" i="5"/>
  <c r="U20" i="5"/>
  <c r="Y20" i="5"/>
  <c r="AC20" i="5"/>
  <c r="AG20" i="5"/>
  <c r="I25" i="5"/>
  <c r="Q25" i="5"/>
  <c r="Y25" i="5"/>
  <c r="AG25" i="5"/>
  <c r="E27" i="5"/>
  <c r="M27" i="5"/>
  <c r="Q27" i="5"/>
  <c r="Y27" i="5"/>
  <c r="E32" i="5"/>
  <c r="M32" i="5"/>
  <c r="U32" i="5"/>
  <c r="D85" i="6"/>
  <c r="D14" i="6"/>
  <c r="D20" i="6" s="1"/>
  <c r="L93" i="6"/>
  <c r="L81" i="6"/>
  <c r="P93" i="6"/>
  <c r="P85" i="6"/>
  <c r="P77" i="6"/>
  <c r="P89" i="6"/>
  <c r="P81" i="6"/>
  <c r="P14" i="6"/>
  <c r="P20" i="6" s="1"/>
  <c r="P15" i="6"/>
  <c r="T85" i="6"/>
  <c r="T77" i="6"/>
  <c r="T89" i="6"/>
  <c r="T14" i="6"/>
  <c r="T20" i="6" s="1"/>
  <c r="T15" i="6"/>
  <c r="X89" i="6"/>
  <c r="AB93" i="6"/>
  <c r="AB81" i="6"/>
  <c r="AF77" i="6"/>
  <c r="F18" i="5"/>
  <c r="J18" i="5"/>
  <c r="N18" i="5"/>
  <c r="R18" i="5"/>
  <c r="V18" i="5"/>
  <c r="Z18" i="5"/>
  <c r="AD18" i="5"/>
  <c r="D19" i="5"/>
  <c r="H19" i="5"/>
  <c r="L19" i="5"/>
  <c r="P19" i="5"/>
  <c r="T19" i="5"/>
  <c r="X19" i="5"/>
  <c r="AB19" i="5"/>
  <c r="AF19" i="5"/>
  <c r="L21" i="5"/>
  <c r="X21" i="5"/>
  <c r="AB21" i="5"/>
  <c r="F25" i="5"/>
  <c r="J25" i="5"/>
  <c r="N25" i="5"/>
  <c r="R25" i="5"/>
  <c r="V25" i="5"/>
  <c r="Z25" i="5"/>
  <c r="AD25" i="5"/>
  <c r="D26" i="5"/>
  <c r="H26" i="5"/>
  <c r="L26" i="5"/>
  <c r="P26" i="5"/>
  <c r="T26" i="5"/>
  <c r="X26" i="5"/>
  <c r="AB26" i="5"/>
  <c r="AF26" i="5"/>
  <c r="D28" i="5"/>
  <c r="T28" i="5"/>
  <c r="F32" i="5"/>
  <c r="J32" i="5"/>
  <c r="N32" i="5"/>
  <c r="R32" i="5"/>
  <c r="V32" i="5"/>
  <c r="Z32" i="5"/>
  <c r="AD32" i="5"/>
  <c r="D33" i="5"/>
  <c r="H33" i="5"/>
  <c r="L33" i="5"/>
  <c r="P33" i="5"/>
  <c r="T33" i="5"/>
  <c r="X33" i="5"/>
  <c r="AB33" i="5"/>
  <c r="AF33" i="5"/>
  <c r="L35" i="5"/>
  <c r="F39" i="5"/>
  <c r="J39" i="5"/>
  <c r="N39" i="5"/>
  <c r="R39" i="5"/>
  <c r="V39" i="5"/>
  <c r="Z39" i="5"/>
  <c r="AD39" i="5"/>
  <c r="D40" i="5"/>
  <c r="H40" i="5"/>
  <c r="L40" i="5"/>
  <c r="P40" i="5"/>
  <c r="T40" i="5"/>
  <c r="X40" i="5"/>
  <c r="AB40" i="5"/>
  <c r="AF40" i="5"/>
  <c r="P42" i="5"/>
  <c r="R48" i="5"/>
  <c r="R46" i="5"/>
  <c r="V48" i="5"/>
  <c r="V77" i="5" s="1"/>
  <c r="V46" i="5"/>
  <c r="Z48" i="5"/>
  <c r="Z77" i="5" s="1"/>
  <c r="Z46" i="5"/>
  <c r="AD48" i="5"/>
  <c r="AD77" i="5" s="1"/>
  <c r="AD46" i="5"/>
  <c r="F46" i="5"/>
  <c r="J46" i="5"/>
  <c r="N46" i="5"/>
  <c r="U46" i="5"/>
  <c r="AC46" i="5"/>
  <c r="G47" i="5"/>
  <c r="I48" i="5"/>
  <c r="Q48" i="5"/>
  <c r="Y48" i="5"/>
  <c r="AG48" i="5"/>
  <c r="K49" i="5"/>
  <c r="E56" i="5"/>
  <c r="E54" i="5"/>
  <c r="I56" i="5"/>
  <c r="I54" i="5"/>
  <c r="M56" i="5"/>
  <c r="M54" i="5"/>
  <c r="Q56" i="5"/>
  <c r="Q54" i="5"/>
  <c r="U56" i="5"/>
  <c r="U54" i="5"/>
  <c r="Y56" i="5"/>
  <c r="Y54" i="5"/>
  <c r="AC56" i="5"/>
  <c r="AC54" i="5"/>
  <c r="AG56" i="5"/>
  <c r="AG54" i="5"/>
  <c r="E53" i="5"/>
  <c r="M53" i="5"/>
  <c r="U53" i="5"/>
  <c r="AC53" i="5"/>
  <c r="I55" i="5"/>
  <c r="Q55" i="5"/>
  <c r="Y55" i="5"/>
  <c r="AG55" i="5"/>
  <c r="E63" i="5"/>
  <c r="E61" i="5"/>
  <c r="I63" i="5"/>
  <c r="I61" i="5"/>
  <c r="M63" i="5"/>
  <c r="M61" i="5"/>
  <c r="Q63" i="5"/>
  <c r="Q61" i="5"/>
  <c r="U63" i="5"/>
  <c r="U61" i="5"/>
  <c r="Y63" i="5"/>
  <c r="Y61" i="5"/>
  <c r="AC63" i="5"/>
  <c r="AC61" i="5"/>
  <c r="AG63" i="5"/>
  <c r="AG61" i="5"/>
  <c r="E60" i="5"/>
  <c r="M60" i="5"/>
  <c r="U60" i="5"/>
  <c r="AC60" i="5"/>
  <c r="I62" i="5"/>
  <c r="U62" i="5"/>
  <c r="M67" i="5"/>
  <c r="AC67" i="5"/>
  <c r="E69" i="5"/>
  <c r="U69" i="5"/>
  <c r="AD55" i="6"/>
  <c r="AD65" i="6"/>
  <c r="AD66" i="6" s="1"/>
  <c r="J89" i="6"/>
  <c r="J77" i="6"/>
  <c r="AD85" i="6"/>
  <c r="L49" i="5"/>
  <c r="L47" i="5"/>
  <c r="AB49" i="5"/>
  <c r="AB47" i="5"/>
  <c r="E20" i="5"/>
  <c r="G18" i="5"/>
  <c r="K18" i="5"/>
  <c r="O18" i="5"/>
  <c r="S18" i="5"/>
  <c r="W18" i="5"/>
  <c r="AA18" i="5"/>
  <c r="AE18" i="5"/>
  <c r="E19" i="5"/>
  <c r="I19" i="5"/>
  <c r="M19" i="5"/>
  <c r="Q19" i="5"/>
  <c r="U19" i="5"/>
  <c r="Y19" i="5"/>
  <c r="AC19" i="5"/>
  <c r="AG19" i="5"/>
  <c r="G25" i="5"/>
  <c r="K25" i="5"/>
  <c r="O25" i="5"/>
  <c r="S25" i="5"/>
  <c r="W25" i="5"/>
  <c r="AA25" i="5"/>
  <c r="AE25" i="5"/>
  <c r="E26" i="5"/>
  <c r="I26" i="5"/>
  <c r="M26" i="5"/>
  <c r="Q26" i="5"/>
  <c r="U26" i="5"/>
  <c r="Y26" i="5"/>
  <c r="AC26" i="5"/>
  <c r="AG26" i="5"/>
  <c r="G32" i="5"/>
  <c r="K32" i="5"/>
  <c r="O32" i="5"/>
  <c r="S32" i="5"/>
  <c r="W32" i="5"/>
  <c r="AA32" i="5"/>
  <c r="AE32" i="5"/>
  <c r="E33" i="5"/>
  <c r="I33" i="5"/>
  <c r="M33" i="5"/>
  <c r="Q33" i="5"/>
  <c r="U33" i="5"/>
  <c r="Y33" i="5"/>
  <c r="AC33" i="5"/>
  <c r="AG33" i="5"/>
  <c r="G39" i="5"/>
  <c r="K39" i="5"/>
  <c r="O39" i="5"/>
  <c r="S39" i="5"/>
  <c r="W39" i="5"/>
  <c r="AA39" i="5"/>
  <c r="AE39" i="5"/>
  <c r="E40" i="5"/>
  <c r="I40" i="5"/>
  <c r="M40" i="5"/>
  <c r="Q40" i="5"/>
  <c r="U40" i="5"/>
  <c r="Y40" i="5"/>
  <c r="AC40" i="5"/>
  <c r="AG40" i="5"/>
  <c r="O48" i="5"/>
  <c r="O77" i="5" s="1"/>
  <c r="O46" i="5"/>
  <c r="S48" i="5"/>
  <c r="S77" i="5" s="1"/>
  <c r="S46" i="5"/>
  <c r="W48" i="5"/>
  <c r="W77" i="5" s="1"/>
  <c r="W46" i="5"/>
  <c r="AA48" i="5"/>
  <c r="AA77" i="5" s="1"/>
  <c r="AA46" i="5"/>
  <c r="AE48" i="5"/>
  <c r="AE77" i="5" s="1"/>
  <c r="AE46" i="5"/>
  <c r="G46" i="5"/>
  <c r="K46" i="5"/>
  <c r="P46" i="5"/>
  <c r="X46" i="5"/>
  <c r="AF46" i="5"/>
  <c r="D48" i="5"/>
  <c r="L48" i="5"/>
  <c r="T48" i="5"/>
  <c r="AB48" i="5"/>
  <c r="H53" i="5"/>
  <c r="P53" i="5"/>
  <c r="X53" i="5"/>
  <c r="AF53" i="5"/>
  <c r="D55" i="5"/>
  <c r="L55" i="5"/>
  <c r="T55" i="5"/>
  <c r="AB55" i="5"/>
  <c r="H60" i="5"/>
  <c r="P60" i="5"/>
  <c r="X60" i="5"/>
  <c r="AF60" i="5"/>
  <c r="D62" i="5"/>
  <c r="L62" i="5"/>
  <c r="Q67" i="5"/>
  <c r="AG67" i="5"/>
  <c r="I69" i="5"/>
  <c r="Y69" i="5"/>
  <c r="F55" i="6"/>
  <c r="F56" i="6" s="1"/>
  <c r="F65" i="6"/>
  <c r="F66" i="6" s="1"/>
  <c r="F53" i="5"/>
  <c r="J53" i="5"/>
  <c r="N53" i="5"/>
  <c r="R53" i="5"/>
  <c r="V53" i="5"/>
  <c r="Z53" i="5"/>
  <c r="AD53" i="5"/>
  <c r="F60" i="5"/>
  <c r="J60" i="5"/>
  <c r="N60" i="5"/>
  <c r="R60" i="5"/>
  <c r="V60" i="5"/>
  <c r="Z60" i="5"/>
  <c r="AD60" i="5"/>
  <c r="F67" i="5"/>
  <c r="J67" i="5"/>
  <c r="N67" i="5"/>
  <c r="R67" i="5"/>
  <c r="V67" i="5"/>
  <c r="Z67" i="5"/>
  <c r="AD67" i="5"/>
  <c r="D68" i="5"/>
  <c r="H68" i="5"/>
  <c r="L68" i="5"/>
  <c r="P68" i="5"/>
  <c r="T68" i="5"/>
  <c r="X68" i="5"/>
  <c r="AB68" i="5"/>
  <c r="AF68" i="5"/>
  <c r="D70" i="5"/>
  <c r="H70" i="5"/>
  <c r="L70" i="5"/>
  <c r="P70" i="5"/>
  <c r="T70" i="5"/>
  <c r="X70" i="5"/>
  <c r="AB70" i="5"/>
  <c r="AF70" i="5"/>
  <c r="D45" i="6"/>
  <c r="D46" i="6"/>
  <c r="H45" i="6"/>
  <c r="H46" i="6"/>
  <c r="L45" i="6"/>
  <c r="L46" i="6"/>
  <c r="P45" i="6"/>
  <c r="P46" i="6"/>
  <c r="T45" i="6"/>
  <c r="T46" i="6"/>
  <c r="X45" i="6"/>
  <c r="X46" i="6"/>
  <c r="AB45" i="6"/>
  <c r="AB46" i="6"/>
  <c r="AF45" i="6"/>
  <c r="AF46" i="6"/>
  <c r="E31" i="6"/>
  <c r="I31" i="6"/>
  <c r="M31" i="6"/>
  <c r="Q31" i="6"/>
  <c r="U31" i="6"/>
  <c r="Y31" i="6"/>
  <c r="AC31" i="6"/>
  <c r="AG31" i="6"/>
  <c r="G32" i="6"/>
  <c r="K32" i="6"/>
  <c r="O32" i="6"/>
  <c r="S32" i="6"/>
  <c r="W32" i="6"/>
  <c r="AA32" i="6"/>
  <c r="AE32" i="6"/>
  <c r="E33" i="6"/>
  <c r="I33" i="6"/>
  <c r="M33" i="6"/>
  <c r="Q33" i="6"/>
  <c r="U33" i="6"/>
  <c r="Y33" i="6"/>
  <c r="AC33" i="6"/>
  <c r="AG33" i="6"/>
  <c r="E39" i="6"/>
  <c r="I39" i="6"/>
  <c r="M39" i="6"/>
  <c r="Q39" i="6"/>
  <c r="U39" i="6"/>
  <c r="Y39" i="6"/>
  <c r="AC39" i="6"/>
  <c r="AG39" i="6"/>
  <c r="G44" i="6"/>
  <c r="O44" i="6"/>
  <c r="AA44" i="6"/>
  <c r="M45" i="6"/>
  <c r="AC45" i="6"/>
  <c r="E65" i="6"/>
  <c r="E66" i="6" s="1"/>
  <c r="G53" i="5"/>
  <c r="K53" i="5"/>
  <c r="O53" i="5"/>
  <c r="S53" i="5"/>
  <c r="W53" i="5"/>
  <c r="AA53" i="5"/>
  <c r="AE53" i="5"/>
  <c r="G60" i="5"/>
  <c r="K60" i="5"/>
  <c r="O60" i="5"/>
  <c r="S60" i="5"/>
  <c r="W60" i="5"/>
  <c r="AA60" i="5"/>
  <c r="AE60" i="5"/>
  <c r="G67" i="5"/>
  <c r="K67" i="5"/>
  <c r="O67" i="5"/>
  <c r="S67" i="5"/>
  <c r="W67" i="5"/>
  <c r="AA67" i="5"/>
  <c r="AE67" i="5"/>
  <c r="D65" i="6"/>
  <c r="D66" i="6" s="1"/>
  <c r="D55" i="6"/>
  <c r="D56" i="6" s="1"/>
  <c r="AF65" i="6"/>
  <c r="AF66" i="6" s="1"/>
  <c r="AF55" i="6"/>
  <c r="F29" i="6"/>
  <c r="J29" i="6"/>
  <c r="N29" i="6"/>
  <c r="R29" i="6"/>
  <c r="V29" i="6"/>
  <c r="Z29" i="6"/>
  <c r="AD29" i="6"/>
  <c r="D30" i="6"/>
  <c r="H30" i="6"/>
  <c r="L30" i="6"/>
  <c r="P30" i="6"/>
  <c r="T30" i="6"/>
  <c r="X30" i="6"/>
  <c r="AB30" i="6"/>
  <c r="AF30" i="6"/>
  <c r="F31" i="6"/>
  <c r="J31" i="6"/>
  <c r="N31" i="6"/>
  <c r="R31" i="6"/>
  <c r="V31" i="6"/>
  <c r="Z31" i="6"/>
  <c r="AD31" i="6"/>
  <c r="D32" i="6"/>
  <c r="H32" i="6"/>
  <c r="L32" i="6"/>
  <c r="P32" i="6"/>
  <c r="T32" i="6"/>
  <c r="X32" i="6"/>
  <c r="AB32" i="6"/>
  <c r="AF32" i="6"/>
  <c r="F33" i="6"/>
  <c r="J33" i="6"/>
  <c r="N33" i="6"/>
  <c r="R33" i="6"/>
  <c r="V33" i="6"/>
  <c r="Z33" i="6"/>
  <c r="AD33" i="6"/>
  <c r="D34" i="6"/>
  <c r="H34" i="6"/>
  <c r="L34" i="6"/>
  <c r="P34" i="6"/>
  <c r="T34" i="6"/>
  <c r="X34" i="6"/>
  <c r="AB34" i="6"/>
  <c r="AF34" i="6"/>
  <c r="J37" i="6"/>
  <c r="R37" i="6"/>
  <c r="V37" i="6"/>
  <c r="Z37" i="6"/>
  <c r="AD37" i="6"/>
  <c r="D38" i="6"/>
  <c r="H38" i="6"/>
  <c r="L38" i="6"/>
  <c r="P38" i="6"/>
  <c r="T38" i="6"/>
  <c r="X38" i="6"/>
  <c r="AB38" i="6"/>
  <c r="AF38" i="6"/>
  <c r="AE44" i="6"/>
  <c r="Q45" i="6"/>
  <c r="AG45" i="6"/>
  <c r="G55" i="6"/>
  <c r="G56" i="6" s="1"/>
  <c r="D67" i="5"/>
  <c r="H67" i="5"/>
  <c r="L67" i="5"/>
  <c r="P67" i="5"/>
  <c r="T67" i="5"/>
  <c r="X67" i="5"/>
  <c r="AB67" i="5"/>
  <c r="AF67" i="5"/>
  <c r="F46" i="6"/>
  <c r="F45" i="6"/>
  <c r="J46" i="6"/>
  <c r="J45" i="6"/>
  <c r="N46" i="6"/>
  <c r="N45" i="6"/>
  <c r="R46" i="6"/>
  <c r="R45" i="6"/>
  <c r="V46" i="6"/>
  <c r="V45" i="6"/>
  <c r="Z46" i="6"/>
  <c r="Z45" i="6"/>
  <c r="AD46" i="6"/>
  <c r="AD45" i="6"/>
  <c r="G29" i="6"/>
  <c r="K29" i="6"/>
  <c r="O29" i="6"/>
  <c r="S29" i="6"/>
  <c r="W29" i="6"/>
  <c r="AA29" i="6"/>
  <c r="AE29" i="6"/>
  <c r="E30" i="6"/>
  <c r="I30" i="6"/>
  <c r="M30" i="6"/>
  <c r="Q30" i="6"/>
  <c r="U30" i="6"/>
  <c r="Y30" i="6"/>
  <c r="AC30" i="6"/>
  <c r="AG30" i="6"/>
  <c r="E34" i="6"/>
  <c r="I34" i="6"/>
  <c r="M34" i="6"/>
  <c r="Q34" i="6"/>
  <c r="U34" i="6"/>
  <c r="Y34" i="6"/>
  <c r="AC34" i="6"/>
  <c r="AG34" i="6"/>
  <c r="K37" i="6"/>
  <c r="S37" i="6"/>
  <c r="E38" i="6"/>
  <c r="I38" i="6"/>
  <c r="M38" i="6"/>
  <c r="Q38" i="6"/>
  <c r="U38" i="6"/>
  <c r="Y38" i="6"/>
  <c r="AC38" i="6"/>
  <c r="AG38" i="6"/>
  <c r="E45" i="6"/>
  <c r="U45" i="6"/>
  <c r="D8" i="7"/>
  <c r="AA77" i="6" l="1"/>
  <c r="AA85" i="6"/>
  <c r="AA14" i="6"/>
  <c r="AA20" i="6" s="1"/>
  <c r="K93" i="6"/>
  <c r="K81" i="6"/>
  <c r="F14" i="6"/>
  <c r="F20" i="6" s="1"/>
  <c r="H81" i="6"/>
  <c r="O85" i="6"/>
  <c r="O93" i="6"/>
  <c r="O15" i="6"/>
  <c r="O81" i="6"/>
  <c r="Q89" i="6"/>
  <c r="Q81" i="6"/>
  <c r="AE15" i="6"/>
  <c r="H93" i="6"/>
  <c r="F93" i="6"/>
  <c r="AE76" i="5"/>
  <c r="AE89" i="6"/>
  <c r="AG77" i="6"/>
  <c r="AG14" i="6"/>
  <c r="AG20" i="6" s="1"/>
  <c r="H89" i="6"/>
  <c r="AE77" i="6"/>
  <c r="F15" i="6"/>
  <c r="F57" i="6" s="1"/>
  <c r="F81" i="6"/>
  <c r="Q14" i="6"/>
  <c r="Q20" i="6" s="1"/>
  <c r="H15" i="6"/>
  <c r="H77" i="6"/>
  <c r="AE85" i="6"/>
  <c r="F77" i="6"/>
  <c r="F89" i="6"/>
  <c r="Q93" i="6"/>
  <c r="R77" i="5"/>
  <c r="AF15" i="6"/>
  <c r="H14" i="6"/>
  <c r="H20" i="6" s="1"/>
  <c r="AE14" i="6"/>
  <c r="AE20" i="6" s="1"/>
  <c r="AE93" i="6"/>
  <c r="Q85" i="6"/>
  <c r="S15" i="6"/>
  <c r="I85" i="6"/>
  <c r="I93" i="6"/>
  <c r="I14" i="6"/>
  <c r="I20" i="6" s="1"/>
  <c r="E77" i="5"/>
  <c r="V77" i="6"/>
  <c r="V89" i="6"/>
  <c r="AA89" i="6"/>
  <c r="AA93" i="6"/>
  <c r="G15" i="6"/>
  <c r="G77" i="6"/>
  <c r="T81" i="6"/>
  <c r="V85" i="6"/>
  <c r="Q77" i="6"/>
  <c r="AA81" i="6"/>
  <c r="G14" i="6"/>
  <c r="G20" i="6" s="1"/>
  <c r="G85" i="6"/>
  <c r="V14" i="6"/>
  <c r="V20" i="6" s="1"/>
  <c r="AA15" i="6"/>
  <c r="G81" i="6"/>
  <c r="AC85" i="6"/>
  <c r="AC93" i="6"/>
  <c r="AC14" i="6"/>
  <c r="AC20" i="6" s="1"/>
  <c r="M85" i="6"/>
  <c r="M93" i="6"/>
  <c r="M14" i="6"/>
  <c r="M20" i="6" s="1"/>
  <c r="AD14" i="6"/>
  <c r="AD20" i="6" s="1"/>
  <c r="AD93" i="6"/>
  <c r="AB89" i="6"/>
  <c r="X15" i="6"/>
  <c r="X77" i="6"/>
  <c r="D81" i="6"/>
  <c r="D82" i="6" s="1"/>
  <c r="D93" i="6"/>
  <c r="O89" i="6"/>
  <c r="K15" i="6"/>
  <c r="K77" i="6"/>
  <c r="AD81" i="6"/>
  <c r="AB15" i="6"/>
  <c r="AB77" i="6"/>
  <c r="X14" i="6"/>
  <c r="X20" i="6" s="1"/>
  <c r="X85" i="6"/>
  <c r="D89" i="6"/>
  <c r="D90" i="6" s="1"/>
  <c r="D91" i="6" s="1"/>
  <c r="D8" i="8"/>
  <c r="E8" i="8" s="1"/>
  <c r="O77" i="6"/>
  <c r="Y89" i="6"/>
  <c r="K14" i="6"/>
  <c r="K20" i="6" s="1"/>
  <c r="K85" i="6"/>
  <c r="N78" i="5"/>
  <c r="N48" i="6" s="1"/>
  <c r="N10" i="7" s="1"/>
  <c r="J76" i="5"/>
  <c r="V76" i="5"/>
  <c r="K78" i="5"/>
  <c r="K48" i="6" s="1"/>
  <c r="K10" i="7" s="1"/>
  <c r="W76" i="5"/>
  <c r="F78" i="5"/>
  <c r="F48" i="6" s="1"/>
  <c r="F10" i="7" s="1"/>
  <c r="AD15" i="6"/>
  <c r="AD77" i="6"/>
  <c r="AB14" i="6"/>
  <c r="AB20" i="6" s="1"/>
  <c r="X81" i="6"/>
  <c r="D15" i="6"/>
  <c r="D57" i="6" s="1"/>
  <c r="AC77" i="5"/>
  <c r="O14" i="6"/>
  <c r="O20" i="6" s="1"/>
  <c r="AG85" i="6"/>
  <c r="K89" i="6"/>
  <c r="W78" i="5"/>
  <c r="W48" i="6" s="1"/>
  <c r="W10" i="7" s="1"/>
  <c r="K76" i="5"/>
  <c r="AE78" i="5"/>
  <c r="AE48" i="6" s="1"/>
  <c r="O76" i="5"/>
  <c r="J85" i="6"/>
  <c r="E85" i="6"/>
  <c r="L89" i="6"/>
  <c r="U85" i="6"/>
  <c r="U81" i="6"/>
  <c r="E15" i="6"/>
  <c r="E57" i="6" s="1"/>
  <c r="N89" i="6"/>
  <c r="AC15" i="6"/>
  <c r="AC81" i="6"/>
  <c r="I77" i="6"/>
  <c r="I81" i="6"/>
  <c r="F76" i="5"/>
  <c r="Z76" i="5"/>
  <c r="J14" i="6"/>
  <c r="J20" i="6" s="1"/>
  <c r="J93" i="6"/>
  <c r="L15" i="6"/>
  <c r="L77" i="6"/>
  <c r="U15" i="6"/>
  <c r="U89" i="6"/>
  <c r="E77" i="6"/>
  <c r="AC77" i="6"/>
  <c r="AC89" i="6"/>
  <c r="I15" i="6"/>
  <c r="I89" i="6"/>
  <c r="W15" i="6"/>
  <c r="J15" i="6"/>
  <c r="G76" i="5"/>
  <c r="L14" i="6"/>
  <c r="L20" i="6" s="1"/>
  <c r="Y75" i="5"/>
  <c r="U93" i="6"/>
  <c r="E14" i="6"/>
  <c r="E20" i="6" s="1"/>
  <c r="E81" i="6"/>
  <c r="Y77" i="6"/>
  <c r="W77" i="6"/>
  <c r="H78" i="5"/>
  <c r="H48" i="6" s="1"/>
  <c r="H112" i="6" s="1"/>
  <c r="H113" i="6" s="1"/>
  <c r="V78" i="5"/>
  <c r="V48" i="6" s="1"/>
  <c r="V112" i="6" s="1"/>
  <c r="N85" i="6"/>
  <c r="Y85" i="6"/>
  <c r="W14" i="6"/>
  <c r="W20" i="6" s="1"/>
  <c r="W85" i="6"/>
  <c r="Z78" i="5"/>
  <c r="Z48" i="6" s="1"/>
  <c r="Z112" i="6" s="1"/>
  <c r="AA78" i="5"/>
  <c r="AA48" i="6" s="1"/>
  <c r="AA10" i="7" s="1"/>
  <c r="S78" i="5"/>
  <c r="S48" i="6" s="1"/>
  <c r="N14" i="6"/>
  <c r="N20" i="6" s="1"/>
  <c r="N93" i="6"/>
  <c r="Y14" i="6"/>
  <c r="Y20" i="6" s="1"/>
  <c r="Y93" i="6"/>
  <c r="W81" i="6"/>
  <c r="W93" i="6"/>
  <c r="AA76" i="5"/>
  <c r="J78" i="5"/>
  <c r="J48" i="6" s="1"/>
  <c r="J112" i="6" s="1"/>
  <c r="S76" i="5"/>
  <c r="O78" i="5"/>
  <c r="O48" i="6" s="1"/>
  <c r="O10" i="7" s="1"/>
  <c r="G78" i="5"/>
  <c r="G48" i="6" s="1"/>
  <c r="G10" i="7" s="1"/>
  <c r="R78" i="5"/>
  <c r="R48" i="6" s="1"/>
  <c r="B22" i="9" s="1"/>
  <c r="AD76" i="5"/>
  <c r="N15" i="6"/>
  <c r="Y15" i="6"/>
  <c r="Q15" i="6"/>
  <c r="N76" i="5"/>
  <c r="AD78" i="5"/>
  <c r="AD48" i="6" s="1"/>
  <c r="AD10" i="7" s="1"/>
  <c r="R76" i="5"/>
  <c r="J10" i="7"/>
  <c r="AG78" i="5"/>
  <c r="AG48" i="6" s="1"/>
  <c r="AG10" i="7" s="1"/>
  <c r="Y78" i="5"/>
  <c r="Y48" i="6" s="1"/>
  <c r="Y112" i="6" s="1"/>
  <c r="Q78" i="5"/>
  <c r="Q48" i="6" s="1"/>
  <c r="Q10" i="7" s="1"/>
  <c r="I78" i="5"/>
  <c r="I48" i="6" s="1"/>
  <c r="I112" i="6" s="1"/>
  <c r="L75" i="5"/>
  <c r="P78" i="5"/>
  <c r="P48" i="6" s="1"/>
  <c r="P112" i="6" s="1"/>
  <c r="T78" i="5"/>
  <c r="T48" i="6" s="1"/>
  <c r="T10" i="7" s="1"/>
  <c r="AF14" i="6"/>
  <c r="AF20" i="6" s="1"/>
  <c r="AF85" i="6"/>
  <c r="B4" i="9"/>
  <c r="B5" i="9" s="1"/>
  <c r="Z14" i="6"/>
  <c r="Z20" i="6" s="1"/>
  <c r="Z93" i="6"/>
  <c r="AF78" i="5"/>
  <c r="AF48" i="6" s="1"/>
  <c r="AF10" i="7" s="1"/>
  <c r="AB77" i="5"/>
  <c r="AG93" i="6"/>
  <c r="AG81" i="6"/>
  <c r="M15" i="6"/>
  <c r="M81" i="6"/>
  <c r="S14" i="6"/>
  <c r="S20" i="6" s="1"/>
  <c r="S85" i="6"/>
  <c r="D78" i="5"/>
  <c r="D48" i="6" s="1"/>
  <c r="D10" i="7" s="1"/>
  <c r="AF81" i="6"/>
  <c r="AF93" i="6"/>
  <c r="Z15" i="6"/>
  <c r="Z81" i="6"/>
  <c r="AC78" i="5"/>
  <c r="AC48" i="6" s="1"/>
  <c r="AC10" i="7" s="1"/>
  <c r="U78" i="5"/>
  <c r="U48" i="6" s="1"/>
  <c r="U112" i="6" s="1"/>
  <c r="M78" i="5"/>
  <c r="M48" i="6" s="1"/>
  <c r="M112" i="6" s="1"/>
  <c r="E78" i="5"/>
  <c r="E48" i="6" s="1"/>
  <c r="E10" i="7" s="1"/>
  <c r="X75" i="5"/>
  <c r="AG15" i="6"/>
  <c r="AG89" i="6"/>
  <c r="M77" i="6"/>
  <c r="M89" i="6"/>
  <c r="S81" i="6"/>
  <c r="S93" i="6"/>
  <c r="Z77" i="6"/>
  <c r="P10" i="7"/>
  <c r="H10" i="7"/>
  <c r="U76" i="5"/>
  <c r="E76" i="5"/>
  <c r="S75" i="5"/>
  <c r="L78" i="5"/>
  <c r="L48" i="6" s="1"/>
  <c r="T76" i="5"/>
  <c r="D76" i="5"/>
  <c r="R75" i="5"/>
  <c r="I75" i="5"/>
  <c r="H75" i="5"/>
  <c r="AE10" i="7"/>
  <c r="AE112" i="6"/>
  <c r="I77" i="5"/>
  <c r="E75" i="5"/>
  <c r="T77" i="5"/>
  <c r="D77" i="5"/>
  <c r="AG76" i="5"/>
  <c r="Q76" i="5"/>
  <c r="AE75" i="5"/>
  <c r="AE40" i="6" s="1"/>
  <c r="O75" i="5"/>
  <c r="W112" i="6"/>
  <c r="AF76" i="5"/>
  <c r="P76" i="5"/>
  <c r="AD75" i="5"/>
  <c r="N75" i="5"/>
  <c r="D78" i="6"/>
  <c r="D79" i="6" s="1"/>
  <c r="AA112" i="6"/>
  <c r="Y77" i="5"/>
  <c r="U75" i="5"/>
  <c r="AF75" i="5"/>
  <c r="S10" i="7"/>
  <c r="S112" i="6"/>
  <c r="P77" i="5"/>
  <c r="P75" i="5"/>
  <c r="AF56" i="6"/>
  <c r="AC76" i="5"/>
  <c r="M76" i="5"/>
  <c r="AA75" i="5"/>
  <c r="K75" i="5"/>
  <c r="K40" i="6" s="1"/>
  <c r="AB78" i="5"/>
  <c r="AB48" i="6" s="1"/>
  <c r="AB76" i="5"/>
  <c r="L76" i="5"/>
  <c r="Z75" i="5"/>
  <c r="J75" i="5"/>
  <c r="J40" i="6" s="1"/>
  <c r="D21" i="6"/>
  <c r="D22" i="6" s="1"/>
  <c r="D25" i="6" s="1"/>
  <c r="D86" i="6"/>
  <c r="D87" i="6" s="1"/>
  <c r="U77" i="5"/>
  <c r="AG75" i="5"/>
  <c r="Q75" i="5"/>
  <c r="AB75" i="5"/>
  <c r="AF77" i="5"/>
  <c r="L77" i="5"/>
  <c r="D75" i="5"/>
  <c r="Y76" i="5"/>
  <c r="I76" i="5"/>
  <c r="W75" i="5"/>
  <c r="G75" i="5"/>
  <c r="G40" i="6" s="1"/>
  <c r="AD56" i="6"/>
  <c r="X78" i="5"/>
  <c r="X48" i="6" s="1"/>
  <c r="X76" i="5"/>
  <c r="H76" i="5"/>
  <c r="V75" i="5"/>
  <c r="V40" i="6" s="1"/>
  <c r="F75" i="5"/>
  <c r="D94" i="6"/>
  <c r="D95" i="6" s="1"/>
  <c r="AG77" i="5"/>
  <c r="M77" i="5"/>
  <c r="AC75" i="5"/>
  <c r="M75" i="5"/>
  <c r="T75" i="5"/>
  <c r="Q77" i="5"/>
  <c r="E67" i="6"/>
  <c r="X77" i="5"/>
  <c r="H77" i="5"/>
  <c r="B6" i="9" l="1"/>
  <c r="B6" i="3"/>
  <c r="R10" i="7"/>
  <c r="AD112" i="6"/>
  <c r="Y40" i="6"/>
  <c r="Y7" i="7" s="1"/>
  <c r="O112" i="6"/>
  <c r="Z40" i="6"/>
  <c r="K112" i="6"/>
  <c r="D67" i="6"/>
  <c r="D102" i="6" s="1"/>
  <c r="F67" i="6"/>
  <c r="N40" i="6"/>
  <c r="Z113" i="6"/>
  <c r="E40" i="6"/>
  <c r="E62" i="6" s="1"/>
  <c r="Q112" i="6"/>
  <c r="Q113" i="6" s="1"/>
  <c r="O40" i="6"/>
  <c r="R40" i="6"/>
  <c r="R7" i="7" s="1"/>
  <c r="S40" i="6"/>
  <c r="S7" i="7" s="1"/>
  <c r="Y10" i="7"/>
  <c r="Z10" i="7"/>
  <c r="T40" i="6"/>
  <c r="T7" i="7" s="1"/>
  <c r="AC40" i="6"/>
  <c r="AC7" i="7" s="1"/>
  <c r="AA113" i="6"/>
  <c r="M10" i="7"/>
  <c r="AC112" i="6"/>
  <c r="AD113" i="6" s="1"/>
  <c r="D40" i="6"/>
  <c r="AE113" i="6"/>
  <c r="I10" i="7"/>
  <c r="AB40" i="6"/>
  <c r="AB7" i="7" s="1"/>
  <c r="AA40" i="6"/>
  <c r="AA52" i="6" s="1"/>
  <c r="P40" i="6"/>
  <c r="P52" i="6" s="1"/>
  <c r="N112" i="6"/>
  <c r="O113" i="6" s="1"/>
  <c r="T112" i="6"/>
  <c r="U113" i="6" s="1"/>
  <c r="V113" i="6"/>
  <c r="U10" i="7"/>
  <c r="D83" i="6"/>
  <c r="E82" i="6" s="1"/>
  <c r="E83" i="6" s="1"/>
  <c r="W40" i="6"/>
  <c r="W7" i="7" s="1"/>
  <c r="AD40" i="6"/>
  <c r="AD52" i="6" s="1"/>
  <c r="J113" i="6"/>
  <c r="V10" i="7"/>
  <c r="W113" i="6"/>
  <c r="F40" i="6"/>
  <c r="F7" i="7" s="1"/>
  <c r="F9" i="7" s="1"/>
  <c r="F11" i="7" s="1"/>
  <c r="K113" i="6"/>
  <c r="AF112" i="6"/>
  <c r="AG113" i="6" s="1"/>
  <c r="R112" i="6"/>
  <c r="R113" i="6" s="1"/>
  <c r="D6" i="3"/>
  <c r="L40" i="6"/>
  <c r="L52" i="6" s="1"/>
  <c r="X40" i="6"/>
  <c r="X7" i="7" s="1"/>
  <c r="AG40" i="6"/>
  <c r="AG7" i="7" s="1"/>
  <c r="E90" i="6"/>
  <c r="E91" i="6" s="1"/>
  <c r="L7" i="7"/>
  <c r="E86" i="6"/>
  <c r="E87" i="6" s="1"/>
  <c r="Y52" i="6"/>
  <c r="E94" i="6"/>
  <c r="E95" i="6" s="1"/>
  <c r="V7" i="7"/>
  <c r="V52" i="6"/>
  <c r="Q40" i="6"/>
  <c r="D16" i="8"/>
  <c r="E19" i="6"/>
  <c r="K7" i="7"/>
  <c r="K52" i="6"/>
  <c r="U40" i="6"/>
  <c r="E78" i="6"/>
  <c r="E79" i="6" s="1"/>
  <c r="H40" i="6"/>
  <c r="L10" i="7"/>
  <c r="L112" i="6"/>
  <c r="L113" i="6" s="1"/>
  <c r="J7" i="7"/>
  <c r="J52" i="6"/>
  <c r="AB10" i="7"/>
  <c r="AB112" i="6"/>
  <c r="AB113" i="6" s="1"/>
  <c r="AA7" i="7"/>
  <c r="D101" i="6"/>
  <c r="O7" i="7"/>
  <c r="O52" i="6"/>
  <c r="B21" i="9"/>
  <c r="G7" i="7"/>
  <c r="G9" i="7" s="1"/>
  <c r="G11" i="7" s="1"/>
  <c r="G52" i="6"/>
  <c r="G62" i="6"/>
  <c r="D7" i="7"/>
  <c r="D9" i="7" s="1"/>
  <c r="D11" i="7" s="1"/>
  <c r="D52" i="6"/>
  <c r="D62" i="6"/>
  <c r="Z7" i="7"/>
  <c r="Z52" i="6"/>
  <c r="D103" i="6"/>
  <c r="AE7" i="7"/>
  <c r="AE52" i="6"/>
  <c r="E7" i="7"/>
  <c r="E9" i="7" s="1"/>
  <c r="E11" i="7" s="1"/>
  <c r="F8" i="8"/>
  <c r="AF113" i="6"/>
  <c r="P113" i="6"/>
  <c r="M40" i="6"/>
  <c r="X10" i="7"/>
  <c r="X112" i="6"/>
  <c r="X113" i="6" s="1"/>
  <c r="W52" i="6"/>
  <c r="AF40" i="6"/>
  <c r="D97" i="6"/>
  <c r="N7" i="7"/>
  <c r="N52" i="6"/>
  <c r="I40" i="6"/>
  <c r="I113" i="6"/>
  <c r="S52" i="6" l="1"/>
  <c r="AC52" i="6"/>
  <c r="E52" i="6"/>
  <c r="AB52" i="6"/>
  <c r="AG52" i="6"/>
  <c r="T113" i="6"/>
  <c r="X52" i="6"/>
  <c r="T52" i="6"/>
  <c r="R52" i="6"/>
  <c r="AD7" i="7"/>
  <c r="N113" i="6"/>
  <c r="F52" i="6"/>
  <c r="F62" i="6"/>
  <c r="P7" i="7"/>
  <c r="S113" i="6"/>
  <c r="AC113" i="6"/>
  <c r="Y113" i="6"/>
  <c r="F86" i="6"/>
  <c r="F87" i="6" s="1"/>
  <c r="F90" i="6"/>
  <c r="F91" i="6" s="1"/>
  <c r="M7" i="7"/>
  <c r="M52" i="6"/>
  <c r="E103" i="6"/>
  <c r="F103" i="6" s="1"/>
  <c r="D63" i="6"/>
  <c r="D17" i="7" s="1"/>
  <c r="E101" i="6"/>
  <c r="F101" i="6" s="1"/>
  <c r="AG116" i="6"/>
  <c r="F82" i="6"/>
  <c r="F83" i="6" s="1"/>
  <c r="U7" i="7"/>
  <c r="U52" i="6"/>
  <c r="E107" i="6"/>
  <c r="E108" i="6"/>
  <c r="E21" i="6"/>
  <c r="E22" i="6" s="1"/>
  <c r="E25" i="6" s="1"/>
  <c r="G8" i="8"/>
  <c r="I7" i="7"/>
  <c r="I52" i="6"/>
  <c r="D53" i="6"/>
  <c r="D54" i="6" s="1"/>
  <c r="D9" i="8"/>
  <c r="D13" i="7"/>
  <c r="D14" i="7" s="1"/>
  <c r="D16" i="7" s="1"/>
  <c r="AF52" i="6"/>
  <c r="AF7" i="7"/>
  <c r="E102" i="6"/>
  <c r="F102" i="6" s="1"/>
  <c r="H7" i="7"/>
  <c r="H52" i="6"/>
  <c r="F78" i="6"/>
  <c r="Q7" i="7"/>
  <c r="Q52" i="6"/>
  <c r="F94" i="6"/>
  <c r="F95" i="6" s="1"/>
  <c r="M113" i="6"/>
  <c r="E97" i="6"/>
  <c r="E13" i="7" s="1"/>
  <c r="E14" i="7" s="1"/>
  <c r="E16" i="7" s="1"/>
  <c r="D18" i="7" l="1"/>
  <c r="F97" i="6"/>
  <c r="F13" i="7" s="1"/>
  <c r="F14" i="7" s="1"/>
  <c r="F16" i="7" s="1"/>
  <c r="F79" i="6"/>
  <c r="E16" i="8"/>
  <c r="F19" i="6"/>
  <c r="G90" i="6"/>
  <c r="G91" i="6" s="1"/>
  <c r="G82" i="6"/>
  <c r="G83" i="6"/>
  <c r="E53" i="6"/>
  <c r="E54" i="6" s="1"/>
  <c r="G94" i="6"/>
  <c r="G95" i="6" s="1"/>
  <c r="D64" i="6"/>
  <c r="G78" i="6"/>
  <c r="G79" i="6" s="1"/>
  <c r="E63" i="6"/>
  <c r="F63" i="6"/>
  <c r="E9" i="8"/>
  <c r="D10" i="8"/>
  <c r="D12" i="8" s="1"/>
  <c r="D17" i="8" s="1"/>
  <c r="D18" i="8" s="1"/>
  <c r="G86" i="6"/>
  <c r="G87" i="6" s="1"/>
  <c r="H8" i="8"/>
  <c r="F53" i="6" l="1"/>
  <c r="F54" i="6" s="1"/>
  <c r="I8" i="8"/>
  <c r="F9" i="8"/>
  <c r="E10" i="8"/>
  <c r="E12" i="8" s="1"/>
  <c r="E17" i="8" s="1"/>
  <c r="E18" i="8" s="1"/>
  <c r="H90" i="6"/>
  <c r="H91" i="6" s="1"/>
  <c r="F17" i="7"/>
  <c r="F18" i="7" s="1"/>
  <c r="F64" i="6"/>
  <c r="G97" i="6"/>
  <c r="H94" i="6"/>
  <c r="H95" i="6" s="1"/>
  <c r="H82" i="6"/>
  <c r="H83" i="6" s="1"/>
  <c r="F108" i="6"/>
  <c r="F107" i="6"/>
  <c r="F21" i="6"/>
  <c r="F22" i="6" s="1"/>
  <c r="F25" i="6" s="1"/>
  <c r="H86" i="6"/>
  <c r="H87" i="6" s="1"/>
  <c r="E17" i="7"/>
  <c r="E18" i="7" s="1"/>
  <c r="E64" i="6"/>
  <c r="H78" i="6"/>
  <c r="H97" i="6" l="1"/>
  <c r="H13" i="7" s="1"/>
  <c r="I86" i="6"/>
  <c r="I87" i="6" s="1"/>
  <c r="I82" i="6"/>
  <c r="I83" i="6" s="1"/>
  <c r="F16" i="8"/>
  <c r="G19" i="6"/>
  <c r="I94" i="6"/>
  <c r="I95" i="6" s="1"/>
  <c r="G9" i="8"/>
  <c r="F10" i="8"/>
  <c r="F12" i="8" s="1"/>
  <c r="H79" i="6"/>
  <c r="I90" i="6"/>
  <c r="I91" i="6" s="1"/>
  <c r="G13" i="7"/>
  <c r="G14" i="7" s="1"/>
  <c r="G16" i="7" s="1"/>
  <c r="G53" i="6"/>
  <c r="G54" i="6" s="1"/>
  <c r="G63" i="6"/>
  <c r="J8" i="8"/>
  <c r="F17" i="8" l="1"/>
  <c r="F18" i="8" s="1"/>
  <c r="J82" i="6"/>
  <c r="J83" i="6" s="1"/>
  <c r="J94" i="6"/>
  <c r="J95" i="6" s="1"/>
  <c r="K8" i="8"/>
  <c r="G17" i="7"/>
  <c r="G18" i="7" s="1"/>
  <c r="G64" i="6"/>
  <c r="J90" i="6"/>
  <c r="J91" i="6" s="1"/>
  <c r="H9" i="8"/>
  <c r="G10" i="8"/>
  <c r="G12" i="8" s="1"/>
  <c r="I78" i="6"/>
  <c r="I97" i="6" s="1"/>
  <c r="G108" i="6"/>
  <c r="G107" i="6"/>
  <c r="G21" i="6"/>
  <c r="G22" i="6" s="1"/>
  <c r="G25" i="6" s="1"/>
  <c r="J86" i="6"/>
  <c r="J87" i="6" s="1"/>
  <c r="G16" i="8" l="1"/>
  <c r="H19" i="6"/>
  <c r="V23" i="6"/>
  <c r="J23" i="6"/>
  <c r="Y23" i="6"/>
  <c r="I23" i="6"/>
  <c r="P23" i="6"/>
  <c r="W23" i="6"/>
  <c r="Z23" i="6"/>
  <c r="U23" i="6"/>
  <c r="AB23" i="6"/>
  <c r="L23" i="6"/>
  <c r="S23" i="6"/>
  <c r="R23" i="6"/>
  <c r="Q23" i="6"/>
  <c r="X23" i="6"/>
  <c r="H23" i="6"/>
  <c r="O23" i="6"/>
  <c r="N23" i="6"/>
  <c r="AC23" i="6"/>
  <c r="M23" i="6"/>
  <c r="T23" i="6"/>
  <c r="AA23" i="6"/>
  <c r="K23" i="6"/>
  <c r="K90" i="6"/>
  <c r="K91" i="6" s="1"/>
  <c r="K94" i="6"/>
  <c r="K95" i="6" s="1"/>
  <c r="K86" i="6"/>
  <c r="K87" i="6" s="1"/>
  <c r="K82" i="6"/>
  <c r="K83" i="6" s="1"/>
  <c r="G17" i="8"/>
  <c r="I79" i="6"/>
  <c r="I9" i="8"/>
  <c r="H10" i="8"/>
  <c r="H12" i="8" s="1"/>
  <c r="I13" i="7"/>
  <c r="L8" i="8"/>
  <c r="L82" i="6" l="1"/>
  <c r="L83" i="6" s="1"/>
  <c r="L86" i="6"/>
  <c r="L87" i="6" s="1"/>
  <c r="L94" i="6"/>
  <c r="L95" i="6" s="1"/>
  <c r="L90" i="6"/>
  <c r="L91" i="6" s="1"/>
  <c r="K65" i="6"/>
  <c r="K55" i="6"/>
  <c r="AC55" i="6"/>
  <c r="AC65" i="6"/>
  <c r="X65" i="6"/>
  <c r="X55" i="6"/>
  <c r="L65" i="6"/>
  <c r="L55" i="6"/>
  <c r="W65" i="6"/>
  <c r="W55" i="6"/>
  <c r="J55" i="6"/>
  <c r="J65" i="6"/>
  <c r="M8" i="8"/>
  <c r="AA65" i="6"/>
  <c r="AA55" i="6"/>
  <c r="N55" i="6"/>
  <c r="N65" i="6"/>
  <c r="Q55" i="6"/>
  <c r="Q65" i="6"/>
  <c r="AB65" i="6"/>
  <c r="AB55" i="6"/>
  <c r="P65" i="6"/>
  <c r="P55" i="6"/>
  <c r="V55" i="6"/>
  <c r="V65" i="6"/>
  <c r="J78" i="6"/>
  <c r="J97" i="6" s="1"/>
  <c r="J9" i="8" s="1"/>
  <c r="T65" i="6"/>
  <c r="T55" i="6"/>
  <c r="O65" i="6"/>
  <c r="O55" i="6"/>
  <c r="R55" i="6"/>
  <c r="R65" i="6"/>
  <c r="U55" i="6"/>
  <c r="U65" i="6"/>
  <c r="I55" i="6"/>
  <c r="I65" i="6"/>
  <c r="H21" i="6"/>
  <c r="I10" i="8"/>
  <c r="I12" i="8" s="1"/>
  <c r="M55" i="6"/>
  <c r="M65" i="6"/>
  <c r="AE114" i="6"/>
  <c r="AA114" i="6"/>
  <c r="W114" i="6"/>
  <c r="S114" i="6"/>
  <c r="O114" i="6"/>
  <c r="K114" i="6"/>
  <c r="G114" i="6"/>
  <c r="G115" i="6" s="1"/>
  <c r="AD114" i="6"/>
  <c r="Z114" i="6"/>
  <c r="V114" i="6"/>
  <c r="R114" i="6"/>
  <c r="N114" i="6"/>
  <c r="J114" i="6"/>
  <c r="F114" i="6"/>
  <c r="AG114" i="6"/>
  <c r="AC114" i="6"/>
  <c r="AC115" i="6" s="1"/>
  <c r="Y114" i="6"/>
  <c r="U114" i="6"/>
  <c r="Q114" i="6"/>
  <c r="M114" i="6"/>
  <c r="I114" i="6"/>
  <c r="E114" i="6"/>
  <c r="X114" i="6"/>
  <c r="H114" i="6"/>
  <c r="T114" i="6"/>
  <c r="D114" i="6"/>
  <c r="AF114" i="6"/>
  <c r="P114" i="6"/>
  <c r="H65" i="6"/>
  <c r="AB114" i="6"/>
  <c r="L114" i="6"/>
  <c r="H55" i="6"/>
  <c r="H24" i="6"/>
  <c r="H25" i="6" s="1"/>
  <c r="S65" i="6"/>
  <c r="S55" i="6"/>
  <c r="Z55" i="6"/>
  <c r="Z65" i="6"/>
  <c r="Y55" i="6"/>
  <c r="Y65" i="6"/>
  <c r="G18" i="8"/>
  <c r="H16" i="8" l="1"/>
  <c r="I19" i="6"/>
  <c r="M94" i="6"/>
  <c r="M95" i="6" s="1"/>
  <c r="M86" i="6"/>
  <c r="M87" i="6" s="1"/>
  <c r="G67" i="6"/>
  <c r="G57" i="6"/>
  <c r="H15" i="7"/>
  <c r="H53" i="6"/>
  <c r="H54" i="6" s="1"/>
  <c r="H57" i="6" s="1"/>
  <c r="J13" i="7"/>
  <c r="N8" i="8"/>
  <c r="M90" i="6"/>
  <c r="M91" i="6" s="1"/>
  <c r="J10" i="8"/>
  <c r="J12" i="8" s="1"/>
  <c r="M82" i="6"/>
  <c r="M83" i="6" s="1"/>
  <c r="J79" i="6"/>
  <c r="H56" i="6" l="1"/>
  <c r="N90" i="6"/>
  <c r="N91" i="6" s="1"/>
  <c r="K78" i="6"/>
  <c r="K97" i="6" s="1"/>
  <c r="G102" i="6"/>
  <c r="G103" i="6"/>
  <c r="N94" i="6"/>
  <c r="N95" i="6" s="1"/>
  <c r="O8" i="8"/>
  <c r="N86" i="6"/>
  <c r="N87" i="6" s="1"/>
  <c r="I21" i="6"/>
  <c r="N82" i="6"/>
  <c r="N83" i="6" s="1"/>
  <c r="H61" i="6"/>
  <c r="G101" i="6"/>
  <c r="H17" i="8"/>
  <c r="H18" i="8" s="1"/>
  <c r="O82" i="6" l="1"/>
  <c r="O83" i="6"/>
  <c r="O90" i="6"/>
  <c r="O91" i="6" s="1"/>
  <c r="K13" i="7"/>
  <c r="K9" i="8"/>
  <c r="K79" i="6"/>
  <c r="P8" i="8"/>
  <c r="O94" i="6"/>
  <c r="O95" i="6" s="1"/>
  <c r="O86" i="6"/>
  <c r="O87" i="6" s="1"/>
  <c r="I15" i="7"/>
  <c r="I53" i="6"/>
  <c r="I54" i="6" s="1"/>
  <c r="I24" i="6"/>
  <c r="I25" i="6" s="1"/>
  <c r="H101" i="6"/>
  <c r="H8" i="7"/>
  <c r="H9" i="7" s="1"/>
  <c r="H11" i="7" s="1"/>
  <c r="H14" i="7" s="1"/>
  <c r="H16" i="7" s="1"/>
  <c r="H62" i="6"/>
  <c r="P90" i="6" l="1"/>
  <c r="P91" i="6" s="1"/>
  <c r="P86" i="6"/>
  <c r="P87" i="6" s="1"/>
  <c r="L78" i="6"/>
  <c r="L97" i="6" s="1"/>
  <c r="L9" i="8" s="1"/>
  <c r="I16" i="8"/>
  <c r="J19" i="6"/>
  <c r="P94" i="6"/>
  <c r="P95" i="6" s="1"/>
  <c r="K10" i="8"/>
  <c r="K12" i="8" s="1"/>
  <c r="H63" i="6"/>
  <c r="H17" i="7" s="1"/>
  <c r="H18" i="7" s="1"/>
  <c r="I57" i="6"/>
  <c r="I61" i="6"/>
  <c r="I56" i="6"/>
  <c r="Q8" i="8"/>
  <c r="P82" i="6"/>
  <c r="P83" i="6" s="1"/>
  <c r="Q94" i="6" l="1"/>
  <c r="Q95" i="6" s="1"/>
  <c r="L10" i="8"/>
  <c r="L12" i="8" s="1"/>
  <c r="Q86" i="6"/>
  <c r="Q87" i="6" s="1"/>
  <c r="R8" i="8"/>
  <c r="I17" i="8"/>
  <c r="I18" i="8" s="1"/>
  <c r="H64" i="6"/>
  <c r="L13" i="7"/>
  <c r="L79" i="6"/>
  <c r="Q90" i="6"/>
  <c r="Q91" i="6" s="1"/>
  <c r="Q82" i="6"/>
  <c r="Q83" i="6" s="1"/>
  <c r="I8" i="7"/>
  <c r="I9" i="7" s="1"/>
  <c r="I11" i="7" s="1"/>
  <c r="I14" i="7" s="1"/>
  <c r="I16" i="7" s="1"/>
  <c r="I62" i="6"/>
  <c r="J21" i="6"/>
  <c r="I101" i="6"/>
  <c r="R82" i="6" l="1"/>
  <c r="R83" i="6" s="1"/>
  <c r="R86" i="6"/>
  <c r="R87" i="6" s="1"/>
  <c r="R94" i="6"/>
  <c r="R95" i="6" s="1"/>
  <c r="M78" i="6"/>
  <c r="M97" i="6" s="1"/>
  <c r="S8" i="8"/>
  <c r="I63" i="6"/>
  <c r="I17" i="7" s="1"/>
  <c r="I18" i="7" s="1"/>
  <c r="J15" i="7"/>
  <c r="J24" i="6"/>
  <c r="J25" i="6" s="1"/>
  <c r="J53" i="6"/>
  <c r="J54" i="6" s="1"/>
  <c r="R90" i="6"/>
  <c r="R91" i="6" s="1"/>
  <c r="H67" i="6"/>
  <c r="H66" i="6"/>
  <c r="M79" i="6" l="1"/>
  <c r="I64" i="6"/>
  <c r="I67" i="6" s="1"/>
  <c r="S90" i="6"/>
  <c r="S91" i="6" s="1"/>
  <c r="S82" i="6"/>
  <c r="S83" i="6" s="1"/>
  <c r="N78" i="6"/>
  <c r="N97" i="6" s="1"/>
  <c r="N79" i="6"/>
  <c r="S86" i="6"/>
  <c r="S87" i="6" s="1"/>
  <c r="T8" i="8"/>
  <c r="M13" i="7"/>
  <c r="M9" i="8"/>
  <c r="H103" i="6"/>
  <c r="H102" i="6"/>
  <c r="J57" i="6"/>
  <c r="J61" i="6"/>
  <c r="J56" i="6"/>
  <c r="S94" i="6"/>
  <c r="S95" i="6" s="1"/>
  <c r="J16" i="8"/>
  <c r="K19" i="6"/>
  <c r="I66" i="6" l="1"/>
  <c r="T94" i="6"/>
  <c r="T95" i="6" s="1"/>
  <c r="T86" i="6"/>
  <c r="T87" i="6" s="1"/>
  <c r="T82" i="6"/>
  <c r="T83" i="6" s="1"/>
  <c r="J8" i="7"/>
  <c r="J9" i="7" s="1"/>
  <c r="J11" i="7" s="1"/>
  <c r="J14" i="7" s="1"/>
  <c r="J16" i="7" s="1"/>
  <c r="J62" i="6"/>
  <c r="I102" i="6"/>
  <c r="O78" i="6"/>
  <c r="O97" i="6" s="1"/>
  <c r="T90" i="6"/>
  <c r="T91" i="6" s="1"/>
  <c r="K21" i="6"/>
  <c r="J101" i="6"/>
  <c r="J17" i="8"/>
  <c r="J18" i="8" s="1"/>
  <c r="I103" i="6"/>
  <c r="N9" i="8"/>
  <c r="M10" i="8"/>
  <c r="M12" i="8" s="1"/>
  <c r="U8" i="8"/>
  <c r="N13" i="7"/>
  <c r="U86" i="6" l="1"/>
  <c r="U87" i="6" s="1"/>
  <c r="U82" i="6"/>
  <c r="U83" i="6" s="1"/>
  <c r="U94" i="6"/>
  <c r="U95" i="6" s="1"/>
  <c r="V8" i="8"/>
  <c r="K15" i="7"/>
  <c r="K24" i="6"/>
  <c r="K25" i="6" s="1"/>
  <c r="K53" i="6"/>
  <c r="K54" i="6" s="1"/>
  <c r="O9" i="8"/>
  <c r="N10" i="8"/>
  <c r="N12" i="8" s="1"/>
  <c r="J63" i="6"/>
  <c r="J17" i="7" s="1"/>
  <c r="J18" i="7" s="1"/>
  <c r="O13" i="7"/>
  <c r="O79" i="6"/>
  <c r="U90" i="6"/>
  <c r="U91" i="6" s="1"/>
  <c r="J64" i="6" l="1"/>
  <c r="J67" i="6" s="1"/>
  <c r="V82" i="6"/>
  <c r="V83" i="6" s="1"/>
  <c r="K57" i="6"/>
  <c r="K61" i="6"/>
  <c r="K56" i="6"/>
  <c r="K16" i="8"/>
  <c r="L19" i="6"/>
  <c r="W8" i="8"/>
  <c r="V94" i="6"/>
  <c r="V95" i="6" s="1"/>
  <c r="V86" i="6"/>
  <c r="V87" i="6" s="1"/>
  <c r="V90" i="6"/>
  <c r="V91" i="6" s="1"/>
  <c r="P78" i="6"/>
  <c r="P97" i="6" s="1"/>
  <c r="P9" i="8" s="1"/>
  <c r="O10" i="8"/>
  <c r="O12" i="8" s="1"/>
  <c r="J66" i="6" l="1"/>
  <c r="W86" i="6"/>
  <c r="W87" i="6" s="1"/>
  <c r="W90" i="6"/>
  <c r="W91" i="6"/>
  <c r="W82" i="6"/>
  <c r="W83" i="6" s="1"/>
  <c r="W94" i="6"/>
  <c r="W95" i="6" s="1"/>
  <c r="K8" i="7"/>
  <c r="K9" i="7" s="1"/>
  <c r="K11" i="7" s="1"/>
  <c r="K14" i="7" s="1"/>
  <c r="K16" i="7" s="1"/>
  <c r="K62" i="6"/>
  <c r="P10" i="8"/>
  <c r="P12" i="8" s="1"/>
  <c r="P13" i="7"/>
  <c r="P79" i="6"/>
  <c r="L21" i="6"/>
  <c r="K101" i="6"/>
  <c r="K17" i="8"/>
  <c r="K18" i="8" s="1"/>
  <c r="J103" i="6"/>
  <c r="J102" i="6"/>
  <c r="X8" i="8"/>
  <c r="X82" i="6" l="1"/>
  <c r="X83" i="6" s="1"/>
  <c r="X94" i="6"/>
  <c r="X95" i="6" s="1"/>
  <c r="X86" i="6"/>
  <c r="X87" i="6" s="1"/>
  <c r="L15" i="7"/>
  <c r="L24" i="6"/>
  <c r="L25" i="6" s="1"/>
  <c r="L53" i="6"/>
  <c r="L54" i="6" s="1"/>
  <c r="Q78" i="6"/>
  <c r="Q97" i="6" s="1"/>
  <c r="X90" i="6"/>
  <c r="X91" i="6" s="1"/>
  <c r="Y8" i="8"/>
  <c r="K63" i="6"/>
  <c r="K17" i="7" s="1"/>
  <c r="K18" i="7" s="1"/>
  <c r="Q79" i="6" l="1"/>
  <c r="Y90" i="6"/>
  <c r="Y91" i="6" s="1"/>
  <c r="Y86" i="6"/>
  <c r="Y87" i="6" s="1"/>
  <c r="Y94" i="6"/>
  <c r="Y95" i="6" s="1"/>
  <c r="K64" i="6"/>
  <c r="R78" i="6"/>
  <c r="R97" i="6" s="1"/>
  <c r="Q13" i="7"/>
  <c r="Q9" i="8"/>
  <c r="Y82" i="6"/>
  <c r="Y83" i="6" s="1"/>
  <c r="Z8" i="8"/>
  <c r="L16" i="8"/>
  <c r="M19" i="6"/>
  <c r="L57" i="6"/>
  <c r="L101" i="6" s="1"/>
  <c r="L61" i="6"/>
  <c r="L56" i="6"/>
  <c r="Z82" i="6" l="1"/>
  <c r="Z83" i="6" s="1"/>
  <c r="Z90" i="6"/>
  <c r="Z91" i="6" s="1"/>
  <c r="R13" i="7"/>
  <c r="Z86" i="6"/>
  <c r="Z87" i="6" s="1"/>
  <c r="AA8" i="8"/>
  <c r="K67" i="6"/>
  <c r="K66" i="6"/>
  <c r="Z94" i="6"/>
  <c r="Z95" i="6" s="1"/>
  <c r="L8" i="7"/>
  <c r="L9" i="7" s="1"/>
  <c r="L11" i="7" s="1"/>
  <c r="L14" i="7" s="1"/>
  <c r="L16" i="7" s="1"/>
  <c r="L62" i="6"/>
  <c r="R9" i="8"/>
  <c r="Q10" i="8"/>
  <c r="Q12" i="8" s="1"/>
  <c r="M21" i="6"/>
  <c r="L17" i="8"/>
  <c r="L18" i="8" s="1"/>
  <c r="R79" i="6"/>
  <c r="AA94" i="6" l="1"/>
  <c r="AA95" i="6" s="1"/>
  <c r="AA86" i="6"/>
  <c r="AA87" i="6" s="1"/>
  <c r="AA90" i="6"/>
  <c r="AA91" i="6" s="1"/>
  <c r="AA82" i="6"/>
  <c r="AA83" i="6" s="1"/>
  <c r="K103" i="6"/>
  <c r="K102" i="6"/>
  <c r="AB8" i="8"/>
  <c r="S78" i="6"/>
  <c r="S97" i="6" s="1"/>
  <c r="S9" i="8" s="1"/>
  <c r="R10" i="8"/>
  <c r="R12" i="8" s="1"/>
  <c r="L63" i="6"/>
  <c r="L17" i="7" s="1"/>
  <c r="L18" i="7" s="1"/>
  <c r="M15" i="7"/>
  <c r="M24" i="6"/>
  <c r="M25" i="6" s="1"/>
  <c r="M53" i="6"/>
  <c r="M54" i="6" s="1"/>
  <c r="S79" i="6" l="1"/>
  <c r="T78" i="6" s="1"/>
  <c r="T97" i="6" s="1"/>
  <c r="T9" i="8" s="1"/>
  <c r="AB86" i="6"/>
  <c r="AB87" i="6" s="1"/>
  <c r="AB94" i="6"/>
  <c r="AB95" i="6" s="1"/>
  <c r="M16" i="8"/>
  <c r="N19" i="6"/>
  <c r="AB82" i="6"/>
  <c r="AB83" i="6" s="1"/>
  <c r="S10" i="8"/>
  <c r="S12" i="8" s="1"/>
  <c r="AB90" i="6"/>
  <c r="AB91" i="6" s="1"/>
  <c r="AC8" i="8"/>
  <c r="M57" i="6"/>
  <c r="M101" i="6" s="1"/>
  <c r="M56" i="6"/>
  <c r="M61" i="6"/>
  <c r="L64" i="6"/>
  <c r="S13" i="7"/>
  <c r="AC90" i="6" l="1"/>
  <c r="AC91" i="6" s="1"/>
  <c r="AC82" i="6"/>
  <c r="AC83" i="6" s="1"/>
  <c r="AC94" i="6"/>
  <c r="AC95" i="6" s="1"/>
  <c r="T10" i="8"/>
  <c r="T12" i="8" s="1"/>
  <c r="AC86" i="6"/>
  <c r="AC87" i="6" s="1"/>
  <c r="T79" i="6"/>
  <c r="B16" i="9"/>
  <c r="F9" i="3" s="1"/>
  <c r="M8" i="7"/>
  <c r="M9" i="7" s="1"/>
  <c r="M11" i="7" s="1"/>
  <c r="M14" i="7" s="1"/>
  <c r="M16" i="7" s="1"/>
  <c r="M62" i="6"/>
  <c r="AD8" i="8"/>
  <c r="N21" i="6"/>
  <c r="T13" i="7"/>
  <c r="L67" i="6"/>
  <c r="L66" i="6"/>
  <c r="M17" i="8"/>
  <c r="M18" i="8" s="1"/>
  <c r="AD82" i="6" l="1"/>
  <c r="AD83" i="6" s="1"/>
  <c r="AD90" i="6"/>
  <c r="AD91" i="6" s="1"/>
  <c r="L102" i="6"/>
  <c r="L103" i="6"/>
  <c r="N15" i="7"/>
  <c r="N24" i="6"/>
  <c r="N25" i="6" s="1"/>
  <c r="N53" i="6"/>
  <c r="N54" i="6" s="1"/>
  <c r="AE8" i="8"/>
  <c r="U78" i="6"/>
  <c r="U97" i="6" s="1"/>
  <c r="M63" i="6"/>
  <c r="M17" i="7" s="1"/>
  <c r="M18" i="7" s="1"/>
  <c r="AD86" i="6"/>
  <c r="AD87" i="6" s="1"/>
  <c r="AD94" i="6"/>
  <c r="AD95" i="6" s="1"/>
  <c r="U79" i="6" l="1"/>
  <c r="V78" i="6" s="1"/>
  <c r="V97" i="6" s="1"/>
  <c r="AE90" i="6"/>
  <c r="AE91" i="6" s="1"/>
  <c r="AE82" i="6"/>
  <c r="AE83" i="6" s="1"/>
  <c r="N16" i="8"/>
  <c r="O19" i="6"/>
  <c r="M64" i="6"/>
  <c r="AE94" i="6"/>
  <c r="AE95" i="6" s="1"/>
  <c r="AF8" i="8"/>
  <c r="AE86" i="6"/>
  <c r="AE87" i="6" s="1"/>
  <c r="U13" i="7"/>
  <c r="U9" i="8"/>
  <c r="N57" i="6"/>
  <c r="N101" i="6" s="1"/>
  <c r="N56" i="6"/>
  <c r="N61" i="6"/>
  <c r="V79" i="6" l="1"/>
  <c r="W78" i="6" s="1"/>
  <c r="W97" i="6" s="1"/>
  <c r="AF82" i="6"/>
  <c r="AF83" i="6" s="1"/>
  <c r="V9" i="8"/>
  <c r="U10" i="8"/>
  <c r="U12" i="8" s="1"/>
  <c r="AG8" i="8"/>
  <c r="M67" i="6"/>
  <c r="M66" i="6"/>
  <c r="AF86" i="6"/>
  <c r="AF87" i="6" s="1"/>
  <c r="O21" i="6"/>
  <c r="AF90" i="6"/>
  <c r="AF91" i="6" s="1"/>
  <c r="AF94" i="6"/>
  <c r="AF95" i="6" s="1"/>
  <c r="N8" i="7"/>
  <c r="N9" i="7" s="1"/>
  <c r="N11" i="7" s="1"/>
  <c r="N14" i="7" s="1"/>
  <c r="N16" i="7" s="1"/>
  <c r="N62" i="6"/>
  <c r="V13" i="7"/>
  <c r="N17" i="8"/>
  <c r="N18" i="8" s="1"/>
  <c r="W79" i="6" l="1"/>
  <c r="X78" i="6" s="1"/>
  <c r="X97" i="6" s="1"/>
  <c r="AG94" i="6"/>
  <c r="AG95" i="6" s="1"/>
  <c r="M102" i="6"/>
  <c r="M103" i="6"/>
  <c r="W9" i="8"/>
  <c r="V10" i="8"/>
  <c r="V12" i="8" s="1"/>
  <c r="N63" i="6"/>
  <c r="N17" i="7" s="1"/>
  <c r="N18" i="7" s="1"/>
  <c r="AG90" i="6"/>
  <c r="AG91" i="6" s="1"/>
  <c r="AG82" i="6"/>
  <c r="AG83" i="6" s="1"/>
  <c r="AG86" i="6"/>
  <c r="AG87" i="6" s="1"/>
  <c r="O15" i="7"/>
  <c r="O24" i="6"/>
  <c r="O25" i="6" s="1"/>
  <c r="O53" i="6"/>
  <c r="O54" i="6" s="1"/>
  <c r="W13" i="7"/>
  <c r="X9" i="8" l="1"/>
  <c r="W10" i="8"/>
  <c r="W12" i="8" s="1"/>
  <c r="X79" i="6"/>
  <c r="N64" i="6"/>
  <c r="O16" i="8"/>
  <c r="P19" i="6"/>
  <c r="X13" i="7"/>
  <c r="O57" i="6"/>
  <c r="O101" i="6" s="1"/>
  <c r="O56" i="6"/>
  <c r="O61" i="6"/>
  <c r="P21" i="6" l="1"/>
  <c r="O17" i="8"/>
  <c r="O18" i="8" s="1"/>
  <c r="Y78" i="6"/>
  <c r="Y97" i="6" s="1"/>
  <c r="Y9" i="8" s="1"/>
  <c r="O8" i="7"/>
  <c r="O9" i="7" s="1"/>
  <c r="O11" i="7" s="1"/>
  <c r="O14" i="7" s="1"/>
  <c r="O16" i="7" s="1"/>
  <c r="O62" i="6"/>
  <c r="N67" i="6"/>
  <c r="N66" i="6"/>
  <c r="X10" i="8"/>
  <c r="X12" i="8" s="1"/>
  <c r="Y79" i="6" l="1"/>
  <c r="Z78" i="6" s="1"/>
  <c r="Y13" i="7"/>
  <c r="O63" i="6"/>
  <c r="O17" i="7" s="1"/>
  <c r="O18" i="7" s="1"/>
  <c r="P15" i="7"/>
  <c r="P24" i="6"/>
  <c r="P25" i="6" s="1"/>
  <c r="P53" i="6"/>
  <c r="P54" i="6" s="1"/>
  <c r="Y10" i="8"/>
  <c r="Y12" i="8" s="1"/>
  <c r="N103" i="6"/>
  <c r="N102" i="6"/>
  <c r="Z97" i="6" l="1"/>
  <c r="Z9" i="8" s="1"/>
  <c r="Z79" i="6"/>
  <c r="AA78" i="6" s="1"/>
  <c r="AA97" i="6" s="1"/>
  <c r="P57" i="6"/>
  <c r="P101" i="6" s="1"/>
  <c r="P56" i="6"/>
  <c r="P61" i="6"/>
  <c r="Z13" i="7"/>
  <c r="P16" i="8"/>
  <c r="Q19" i="6"/>
  <c r="O64" i="6"/>
  <c r="Z10" i="8"/>
  <c r="Z12" i="8" s="1"/>
  <c r="AA13" i="7" l="1"/>
  <c r="P8" i="7"/>
  <c r="P9" i="7" s="1"/>
  <c r="P11" i="7" s="1"/>
  <c r="P14" i="7" s="1"/>
  <c r="P16" i="7" s="1"/>
  <c r="P62" i="6"/>
  <c r="Q21" i="6"/>
  <c r="AA79" i="6"/>
  <c r="AA9" i="8"/>
  <c r="O67" i="6"/>
  <c r="O66" i="6"/>
  <c r="P17" i="8"/>
  <c r="P18" i="8" s="1"/>
  <c r="Q15" i="7" l="1"/>
  <c r="Q24" i="6"/>
  <c r="Q25" i="6" s="1"/>
  <c r="Q53" i="6"/>
  <c r="Q54" i="6" s="1"/>
  <c r="P63" i="6"/>
  <c r="P17" i="7" s="1"/>
  <c r="P18" i="7" s="1"/>
  <c r="O102" i="6"/>
  <c r="O103" i="6"/>
  <c r="AA10" i="8"/>
  <c r="AA12" i="8" s="1"/>
  <c r="AB78" i="6"/>
  <c r="AB97" i="6" s="1"/>
  <c r="AB79" i="6" l="1"/>
  <c r="Q57" i="6"/>
  <c r="Q101" i="6" s="1"/>
  <c r="Q56" i="6"/>
  <c r="Q61" i="6"/>
  <c r="Q16" i="8"/>
  <c r="R19" i="6"/>
  <c r="AB13" i="7"/>
  <c r="AB9" i="8"/>
  <c r="P64" i="6"/>
  <c r="Q8" i="7" l="1"/>
  <c r="Q9" i="7" s="1"/>
  <c r="Q11" i="7" s="1"/>
  <c r="Q14" i="7" s="1"/>
  <c r="Q16" i="7" s="1"/>
  <c r="Q62" i="6"/>
  <c r="R21" i="6"/>
  <c r="AB10" i="8"/>
  <c r="AB12" i="8" s="1"/>
  <c r="Q17" i="8"/>
  <c r="Q18" i="8" s="1"/>
  <c r="P67" i="6"/>
  <c r="P66" i="6"/>
  <c r="AC78" i="6"/>
  <c r="AC97" i="6" s="1"/>
  <c r="AC9" i="8" s="1"/>
  <c r="AC10" i="8" l="1"/>
  <c r="AC12" i="8" s="1"/>
  <c r="AC79" i="6"/>
  <c r="Q63" i="6"/>
  <c r="Q17" i="7" s="1"/>
  <c r="Q18" i="7" s="1"/>
  <c r="P103" i="6"/>
  <c r="P102" i="6"/>
  <c r="AC13" i="7"/>
  <c r="R15" i="7"/>
  <c r="R24" i="6"/>
  <c r="R25" i="6" s="1"/>
  <c r="R53" i="6"/>
  <c r="R54" i="6" s="1"/>
  <c r="Q64" i="6" l="1"/>
  <c r="Q66" i="6" s="1"/>
  <c r="R16" i="8"/>
  <c r="S19" i="6"/>
  <c r="AD78" i="6"/>
  <c r="AD97" i="6" s="1"/>
  <c r="Q67" i="6"/>
  <c r="Q102" i="6" s="1"/>
  <c r="R57" i="6"/>
  <c r="R101" i="6" s="1"/>
  <c r="R61" i="6"/>
  <c r="R56" i="6"/>
  <c r="Q103" i="6" l="1"/>
  <c r="AD13" i="7"/>
  <c r="AD9" i="8"/>
  <c r="R8" i="7"/>
  <c r="R9" i="7" s="1"/>
  <c r="R11" i="7" s="1"/>
  <c r="R14" i="7" s="1"/>
  <c r="R16" i="7" s="1"/>
  <c r="R62" i="6"/>
  <c r="S21" i="6"/>
  <c r="AD79" i="6"/>
  <c r="R17" i="8"/>
  <c r="R18" i="8" s="1"/>
  <c r="AE78" i="6" l="1"/>
  <c r="AE97" i="6" s="1"/>
  <c r="AE9" i="8" s="1"/>
  <c r="AD10" i="8"/>
  <c r="AD12" i="8" s="1"/>
  <c r="S15" i="7"/>
  <c r="S24" i="6"/>
  <c r="S25" i="6" s="1"/>
  <c r="S53" i="6"/>
  <c r="S54" i="6" s="1"/>
  <c r="R63" i="6"/>
  <c r="R17" i="7" s="1"/>
  <c r="R18" i="7" s="1"/>
  <c r="R64" i="6" l="1"/>
  <c r="R66" i="6" s="1"/>
  <c r="AE10" i="8"/>
  <c r="AE12" i="8" s="1"/>
  <c r="R67" i="6"/>
  <c r="S57" i="6"/>
  <c r="S101" i="6" s="1"/>
  <c r="S56" i="6"/>
  <c r="S61" i="6"/>
  <c r="S16" i="8"/>
  <c r="T19" i="6"/>
  <c r="AE13" i="7"/>
  <c r="AE79" i="6"/>
  <c r="R102" i="6" l="1"/>
  <c r="R103" i="6"/>
  <c r="S8" i="7"/>
  <c r="S9" i="7" s="1"/>
  <c r="S11" i="7" s="1"/>
  <c r="S14" i="7" s="1"/>
  <c r="S16" i="7" s="1"/>
  <c r="S62" i="6"/>
  <c r="S17" i="8"/>
  <c r="S18" i="8" s="1"/>
  <c r="AF78" i="6"/>
  <c r="AF97" i="6" s="1"/>
  <c r="T21" i="6"/>
  <c r="AF79" i="6" l="1"/>
  <c r="AG78" i="6" s="1"/>
  <c r="AG97" i="6" s="1"/>
  <c r="S63" i="6"/>
  <c r="S17" i="7" s="1"/>
  <c r="S18" i="7" s="1"/>
  <c r="T15" i="7"/>
  <c r="T24" i="6"/>
  <c r="T25" i="6" s="1"/>
  <c r="T53" i="6"/>
  <c r="T54" i="6" s="1"/>
  <c r="AF13" i="7"/>
  <c r="AF9" i="8"/>
  <c r="AG79" i="6" l="1"/>
  <c r="S64" i="6"/>
  <c r="AG9" i="8"/>
  <c r="AG10" i="8" s="1"/>
  <c r="AG12" i="8" s="1"/>
  <c r="AF10" i="8"/>
  <c r="AF12" i="8" s="1"/>
  <c r="T16" i="8"/>
  <c r="U19" i="6"/>
  <c r="S67" i="6"/>
  <c r="S66" i="6"/>
  <c r="T57" i="6"/>
  <c r="T101" i="6" s="1"/>
  <c r="T61" i="6"/>
  <c r="T56" i="6"/>
  <c r="AG13" i="7"/>
  <c r="U21" i="6" l="1"/>
  <c r="T17" i="8"/>
  <c r="T18" i="8" s="1"/>
  <c r="T8" i="7"/>
  <c r="T9" i="7" s="1"/>
  <c r="T11" i="7" s="1"/>
  <c r="T14" i="7" s="1"/>
  <c r="T16" i="7" s="1"/>
  <c r="T62" i="6"/>
  <c r="S102" i="6"/>
  <c r="S103" i="6"/>
  <c r="T63" i="6" l="1"/>
  <c r="T17" i="7" s="1"/>
  <c r="T18" i="7" s="1"/>
  <c r="U15" i="7"/>
  <c r="U24" i="6"/>
  <c r="U25" i="6" s="1"/>
  <c r="U53" i="6"/>
  <c r="U54" i="6" s="1"/>
  <c r="U57" i="6" l="1"/>
  <c r="U101" i="6" s="1"/>
  <c r="U61" i="6"/>
  <c r="U56" i="6"/>
  <c r="U16" i="8"/>
  <c r="V19" i="6"/>
  <c r="T64" i="6"/>
  <c r="V21" i="6" l="1"/>
  <c r="U17" i="8"/>
  <c r="U18" i="8" s="1"/>
  <c r="T67" i="6"/>
  <c r="T66" i="6"/>
  <c r="U8" i="7"/>
  <c r="U9" i="7" s="1"/>
  <c r="U11" i="7" s="1"/>
  <c r="U14" i="7" s="1"/>
  <c r="U16" i="7" s="1"/>
  <c r="U62" i="6"/>
  <c r="T102" i="6" l="1"/>
  <c r="T103" i="6"/>
  <c r="V15" i="7"/>
  <c r="V24" i="6"/>
  <c r="V25" i="6" s="1"/>
  <c r="V53" i="6"/>
  <c r="V54" i="6" s="1"/>
  <c r="U63" i="6"/>
  <c r="U17" i="7" s="1"/>
  <c r="U18" i="7" s="1"/>
  <c r="V16" i="8" l="1"/>
  <c r="W19" i="6"/>
  <c r="U64" i="6"/>
  <c r="V57" i="6"/>
  <c r="V101" i="6" s="1"/>
  <c r="V61" i="6"/>
  <c r="V56" i="6"/>
  <c r="U67" i="6" l="1"/>
  <c r="U66" i="6"/>
  <c r="V8" i="7"/>
  <c r="V9" i="7" s="1"/>
  <c r="V11" i="7" s="1"/>
  <c r="V14" i="7" s="1"/>
  <c r="V16" i="7" s="1"/>
  <c r="V62" i="6"/>
  <c r="W21" i="6"/>
  <c r="V17" i="8"/>
  <c r="V18" i="8" s="1"/>
  <c r="W15" i="7" l="1"/>
  <c r="W24" i="6"/>
  <c r="W25" i="6" s="1"/>
  <c r="W53" i="6"/>
  <c r="W54" i="6" s="1"/>
  <c r="V63" i="6"/>
  <c r="V17" i="7" s="1"/>
  <c r="V18" i="7" s="1"/>
  <c r="U103" i="6"/>
  <c r="U102" i="6"/>
  <c r="W57" i="6" l="1"/>
  <c r="W101" i="6" s="1"/>
  <c r="W56" i="6"/>
  <c r="W61" i="6"/>
  <c r="W16" i="8"/>
  <c r="X19" i="6"/>
  <c r="V64" i="6"/>
  <c r="V67" i="6" l="1"/>
  <c r="V66" i="6"/>
  <c r="W17" i="8"/>
  <c r="W18" i="8" s="1"/>
  <c r="W8" i="7"/>
  <c r="W9" i="7" s="1"/>
  <c r="W11" i="7" s="1"/>
  <c r="W14" i="7" s="1"/>
  <c r="W16" i="7" s="1"/>
  <c r="W62" i="6"/>
  <c r="X21" i="6"/>
  <c r="X15" i="7" l="1"/>
  <c r="X24" i="6"/>
  <c r="X25" i="6" s="1"/>
  <c r="X53" i="6"/>
  <c r="X54" i="6" s="1"/>
  <c r="W63" i="6"/>
  <c r="W17" i="7" s="1"/>
  <c r="W18" i="7" s="1"/>
  <c r="V102" i="6"/>
  <c r="V103" i="6"/>
  <c r="X57" i="6" l="1"/>
  <c r="X101" i="6" s="1"/>
  <c r="X61" i="6"/>
  <c r="X56" i="6"/>
  <c r="X16" i="8"/>
  <c r="Y19" i="6"/>
  <c r="W64" i="6"/>
  <c r="W67" i="6" l="1"/>
  <c r="W66" i="6"/>
  <c r="Y21" i="6"/>
  <c r="X8" i="7"/>
  <c r="X9" i="7" s="1"/>
  <c r="X11" i="7" s="1"/>
  <c r="X14" i="7" s="1"/>
  <c r="X16" i="7" s="1"/>
  <c r="X62" i="6"/>
  <c r="X17" i="8"/>
  <c r="X18" i="8" s="1"/>
  <c r="X63" i="6" l="1"/>
  <c r="X17" i="7" s="1"/>
  <c r="X18" i="7" s="1"/>
  <c r="Y15" i="7"/>
  <c r="Y24" i="6"/>
  <c r="Y25" i="6" s="1"/>
  <c r="Y53" i="6"/>
  <c r="Y54" i="6" s="1"/>
  <c r="W102" i="6"/>
  <c r="W103" i="6"/>
  <c r="Y16" i="8" l="1"/>
  <c r="Z19" i="6"/>
  <c r="Y57" i="6"/>
  <c r="Y101" i="6" s="1"/>
  <c r="Y56" i="6"/>
  <c r="Y61" i="6"/>
  <c r="X64" i="6"/>
  <c r="X67" i="6" l="1"/>
  <c r="X66" i="6"/>
  <c r="Z21" i="6"/>
  <c r="Y8" i="7"/>
  <c r="Y9" i="7" s="1"/>
  <c r="Y11" i="7" s="1"/>
  <c r="Y14" i="7" s="1"/>
  <c r="Y16" i="7" s="1"/>
  <c r="Y62" i="6"/>
  <c r="Y17" i="8"/>
  <c r="Y18" i="8" s="1"/>
  <c r="Y63" i="6" l="1"/>
  <c r="Y17" i="7" s="1"/>
  <c r="Y18" i="7" s="1"/>
  <c r="Z15" i="7"/>
  <c r="Z24" i="6"/>
  <c r="Z25" i="6" s="1"/>
  <c r="Z53" i="6"/>
  <c r="Z54" i="6" s="1"/>
  <c r="X103" i="6"/>
  <c r="X102" i="6"/>
  <c r="Z57" i="6" l="1"/>
  <c r="Z101" i="6" s="1"/>
  <c r="Z56" i="6"/>
  <c r="Z61" i="6"/>
  <c r="Z16" i="8"/>
  <c r="AA19" i="6"/>
  <c r="Y64" i="6"/>
  <c r="Y67" i="6" l="1"/>
  <c r="Y66" i="6"/>
  <c r="AA21" i="6"/>
  <c r="Z17" i="8"/>
  <c r="Z18" i="8" s="1"/>
  <c r="Z8" i="7"/>
  <c r="Z9" i="7" s="1"/>
  <c r="Z11" i="7" s="1"/>
  <c r="Z14" i="7" s="1"/>
  <c r="Z16" i="7" s="1"/>
  <c r="Z62" i="6"/>
  <c r="Z63" i="6" l="1"/>
  <c r="Z17" i="7" s="1"/>
  <c r="Z18" i="7" s="1"/>
  <c r="AA15" i="7"/>
  <c r="AA24" i="6"/>
  <c r="AA25" i="6" s="1"/>
  <c r="AA53" i="6"/>
  <c r="AA54" i="6" s="1"/>
  <c r="Y102" i="6"/>
  <c r="Y103" i="6"/>
  <c r="AA16" i="8" l="1"/>
  <c r="AB19" i="6"/>
  <c r="AA57" i="6"/>
  <c r="AA101" i="6" s="1"/>
  <c r="AA61" i="6"/>
  <c r="AA56" i="6"/>
  <c r="Z64" i="6"/>
  <c r="Z67" i="6" l="1"/>
  <c r="Z66" i="6"/>
  <c r="AB21" i="6"/>
  <c r="AA8" i="7"/>
  <c r="AA9" i="7" s="1"/>
  <c r="AA11" i="7" s="1"/>
  <c r="AA14" i="7" s="1"/>
  <c r="AA16" i="7" s="1"/>
  <c r="AA62" i="6"/>
  <c r="AA17" i="8"/>
  <c r="AA18" i="8" s="1"/>
  <c r="AB15" i="7" l="1"/>
  <c r="AB24" i="6"/>
  <c r="AB25" i="6" s="1"/>
  <c r="AB53" i="6"/>
  <c r="AB54" i="6" s="1"/>
  <c r="AA63" i="6"/>
  <c r="AA17" i="7" s="1"/>
  <c r="AA18" i="7" s="1"/>
  <c r="Z103" i="6"/>
  <c r="Z102" i="6"/>
  <c r="AB57" i="6" l="1"/>
  <c r="AB101" i="6" s="1"/>
  <c r="AB61" i="6"/>
  <c r="AB56" i="6"/>
  <c r="AB16" i="8"/>
  <c r="AC19" i="6"/>
  <c r="AA64" i="6"/>
  <c r="AB17" i="8" l="1"/>
  <c r="AB18" i="8" s="1"/>
  <c r="AA67" i="6"/>
  <c r="AA66" i="6"/>
  <c r="AB8" i="7"/>
  <c r="AB9" i="7" s="1"/>
  <c r="AB11" i="7" s="1"/>
  <c r="AB14" i="7" s="1"/>
  <c r="AB16" i="7" s="1"/>
  <c r="AB62" i="6"/>
  <c r="AC107" i="6"/>
  <c r="AC108" i="6"/>
  <c r="AC21" i="6"/>
  <c r="AA102" i="6" l="1"/>
  <c r="AA103" i="6"/>
  <c r="AC15" i="7"/>
  <c r="AC24" i="6"/>
  <c r="AC25" i="6" s="1"/>
  <c r="AC53" i="6"/>
  <c r="AC54" i="6" s="1"/>
  <c r="AB63" i="6"/>
  <c r="AB17" i="7" s="1"/>
  <c r="AB18" i="7" s="1"/>
  <c r="AC56" i="6" l="1"/>
  <c r="AC57" i="6"/>
  <c r="AC101" i="6" s="1"/>
  <c r="AC61" i="6"/>
  <c r="AC16" i="8"/>
  <c r="AD19" i="6"/>
  <c r="AB64" i="6"/>
  <c r="AC8" i="7" l="1"/>
  <c r="AC9" i="7" s="1"/>
  <c r="AC11" i="7" s="1"/>
  <c r="AC14" i="7" s="1"/>
  <c r="AC16" i="7" s="1"/>
  <c r="AC62" i="6"/>
  <c r="AB67" i="6"/>
  <c r="AB66" i="6"/>
  <c r="AD108" i="6"/>
  <c r="AD107" i="6"/>
  <c r="AD21" i="6"/>
  <c r="AC17" i="8"/>
  <c r="AC18" i="8" s="1"/>
  <c r="B10" i="9"/>
  <c r="F6" i="3" s="1"/>
  <c r="B11" i="9"/>
  <c r="AB102" i="6" l="1"/>
  <c r="AB103" i="6"/>
  <c r="AD15" i="7"/>
  <c r="AD24" i="6"/>
  <c r="AD25" i="6" s="1"/>
  <c r="AD53" i="6"/>
  <c r="AD54" i="6" s="1"/>
  <c r="AC63" i="6"/>
  <c r="AC17" i="7" s="1"/>
  <c r="AC18" i="7" s="1"/>
  <c r="AC64" i="6" l="1"/>
  <c r="AC66" i="6" s="1"/>
  <c r="AD16" i="8"/>
  <c r="AE19" i="6"/>
  <c r="AD57" i="6"/>
  <c r="AD101" i="6" s="1"/>
  <c r="AD61" i="6"/>
  <c r="AC67" i="6" l="1"/>
  <c r="AD8" i="7"/>
  <c r="AD9" i="7" s="1"/>
  <c r="AD11" i="7" s="1"/>
  <c r="AD14" i="7" s="1"/>
  <c r="AD16" i="7" s="1"/>
  <c r="AD62" i="6"/>
  <c r="AE108" i="6"/>
  <c r="AE107" i="6"/>
  <c r="AE21" i="6"/>
  <c r="C10" i="9"/>
  <c r="H6" i="3" s="1"/>
  <c r="C11" i="9"/>
  <c r="AD17" i="8"/>
  <c r="AD18" i="8" s="1"/>
  <c r="AC103" i="6" l="1"/>
  <c r="AC102" i="6"/>
  <c r="AD63" i="6"/>
  <c r="AD17" i="7" s="1"/>
  <c r="AD18" i="7" s="1"/>
  <c r="AE15" i="7"/>
  <c r="AE24" i="6"/>
  <c r="AE25" i="6" s="1"/>
  <c r="AE53" i="6"/>
  <c r="AE54" i="6" s="1"/>
  <c r="AE57" i="6" l="1"/>
  <c r="AE101" i="6" s="1"/>
  <c r="AE61" i="6"/>
  <c r="AE16" i="8"/>
  <c r="AF19" i="6"/>
  <c r="AD64" i="6"/>
  <c r="AF108" i="6" l="1"/>
  <c r="AF107" i="6"/>
  <c r="AF21" i="6"/>
  <c r="AE17" i="8"/>
  <c r="AE18" i="8" s="1"/>
  <c r="AE8" i="7"/>
  <c r="AE9" i="7" s="1"/>
  <c r="AE11" i="7" s="1"/>
  <c r="AE14" i="7" s="1"/>
  <c r="AE16" i="7" s="1"/>
  <c r="AE62" i="6"/>
  <c r="AD67" i="6"/>
  <c r="AE63" i="6" l="1"/>
  <c r="AE17" i="7" s="1"/>
  <c r="AE18" i="7" s="1"/>
  <c r="AF15" i="7"/>
  <c r="AF24" i="6"/>
  <c r="AF25" i="6" s="1"/>
  <c r="AF53" i="6"/>
  <c r="AF54" i="6" s="1"/>
  <c r="AD103" i="6"/>
  <c r="AD102" i="6"/>
  <c r="AE64" i="6" l="1"/>
  <c r="AE67" i="6" s="1"/>
  <c r="AE102" i="6" s="1"/>
  <c r="AF57" i="6"/>
  <c r="AF101" i="6" s="1"/>
  <c r="AF61" i="6"/>
  <c r="AF16" i="8"/>
  <c r="AG19" i="6"/>
  <c r="AE103" i="6" l="1"/>
  <c r="AF8" i="7"/>
  <c r="AF9" i="7" s="1"/>
  <c r="AF11" i="7" s="1"/>
  <c r="AF14" i="7" s="1"/>
  <c r="AF16" i="7" s="1"/>
  <c r="AF62" i="6"/>
  <c r="AG107" i="6"/>
  <c r="AG21" i="6"/>
  <c r="AG108" i="6"/>
  <c r="AF17" i="8"/>
  <c r="AF18" i="8" s="1"/>
  <c r="AF63" i="6" l="1"/>
  <c r="AF17" i="7" s="1"/>
  <c r="AF18" i="7" s="1"/>
  <c r="AG15" i="7"/>
  <c r="AG24" i="6"/>
  <c r="AG25" i="6" s="1"/>
  <c r="AG16" i="8" s="1"/>
  <c r="AG53" i="6"/>
  <c r="AG54" i="6" s="1"/>
  <c r="AF64" i="6" l="1"/>
  <c r="AF67" i="6" s="1"/>
  <c r="AF102" i="6" s="1"/>
  <c r="AG17" i="8"/>
  <c r="AG18" i="8" s="1"/>
  <c r="AG61" i="6"/>
  <c r="AG57" i="6"/>
  <c r="AF103" i="6"/>
  <c r="AG8" i="7" l="1"/>
  <c r="AG9" i="7" s="1"/>
  <c r="AG11" i="7" s="1"/>
  <c r="AG14" i="7" s="1"/>
  <c r="AG16" i="7" s="1"/>
  <c r="AG62" i="6"/>
  <c r="B17" i="9"/>
  <c r="B18" i="9"/>
  <c r="B37" i="9"/>
  <c r="B29" i="9"/>
  <c r="B13" i="9"/>
  <c r="B12" i="9"/>
  <c r="AG101" i="6"/>
  <c r="B31" i="9" s="1"/>
  <c r="B30" i="9" l="1"/>
  <c r="B9" i="3"/>
  <c r="AG117" i="6"/>
  <c r="AG63" i="6"/>
  <c r="AG17" i="7" s="1"/>
  <c r="AG18" i="7" s="1"/>
  <c r="AG64" i="6" l="1"/>
  <c r="AG67" i="6"/>
  <c r="C12" i="9" s="1"/>
  <c r="C29" i="9"/>
  <c r="AG103" i="6"/>
  <c r="C32" i="9" s="1"/>
  <c r="H9" i="3" s="1"/>
  <c r="H108" i="6"/>
  <c r="H107" i="6"/>
  <c r="I107" i="6"/>
  <c r="J107" i="6"/>
  <c r="I108" i="6"/>
  <c r="J108" i="6"/>
  <c r="K107" i="6"/>
  <c r="K108" i="6"/>
  <c r="L108" i="6"/>
  <c r="L107" i="6"/>
  <c r="M107" i="6"/>
  <c r="M108" i="6"/>
  <c r="N107" i="6"/>
  <c r="N108" i="6"/>
  <c r="O108" i="6"/>
  <c r="O107" i="6"/>
  <c r="P107" i="6"/>
  <c r="P108" i="6"/>
  <c r="Q108" i="6"/>
  <c r="Q107" i="6"/>
  <c r="R107" i="6"/>
  <c r="R108" i="6"/>
  <c r="S108" i="6"/>
  <c r="S107" i="6"/>
  <c r="T107" i="6"/>
  <c r="T108" i="6"/>
  <c r="U107" i="6"/>
  <c r="U108" i="6"/>
  <c r="V108" i="6"/>
  <c r="V107" i="6"/>
  <c r="W108" i="6"/>
  <c r="W107" i="6"/>
  <c r="X107" i="6"/>
  <c r="X108" i="6"/>
  <c r="Y108" i="6"/>
  <c r="Y107" i="6"/>
  <c r="Z107" i="6"/>
  <c r="Z108" i="6"/>
  <c r="AA107" i="6"/>
  <c r="AA108" i="6"/>
  <c r="AB108" i="6"/>
  <c r="AB107" i="6"/>
  <c r="C13" i="9" l="1"/>
  <c r="AG102" i="6"/>
  <c r="C31" i="9" s="1"/>
  <c r="B35" i="9"/>
  <c r="B36" i="9"/>
  <c r="C30" i="9"/>
  <c r="D9" i="3"/>
</calcChain>
</file>

<file path=xl/sharedStrings.xml><?xml version="1.0" encoding="utf-8"?>
<sst xmlns="http://schemas.openxmlformats.org/spreadsheetml/2006/main" count="421" uniqueCount="403">
  <si>
    <t>FleetPods Alberta Phase 1 - PPP Financial Model (BASIC / WORKING VERSION)</t>
  </si>
  <si>
    <t>HOW THE AVAILABILITY PAYMENT IS SIZED</t>
  </si>
  <si>
    <t>WHAT THIS MODEL STILL IS NOT</t>
  </si>
  <si>
    <t>COLOUR KEY</t>
  </si>
  <si>
    <t>Overview</t>
  </si>
  <si>
    <t>The Core Question: Can User Fees Alone Make This Bankable?</t>
  </si>
  <si>
    <t>The Case for an Availability Payment</t>
  </si>
  <si>
    <t>Status of This Model</t>
  </si>
  <si>
    <t>TOTAL PROGRAM CAPEX</t>
  </si>
  <si>
    <t>DEBT / EQUITY SPLIT</t>
  </si>
  <si>
    <t>STEADY-STATE AVAIL. PAYMENT</t>
  </si>
  <si>
    <t>WHY AN AVAILABILITY PAYMENT IS REQUIRED</t>
  </si>
  <si>
    <t>DSCR PROFILE, CASE A vs CASE B (Years 5-30)</t>
  </si>
  <si>
    <t>ASSUMPTIONS</t>
  </si>
  <si>
    <t>1. GENERAL &amp; TIMING</t>
  </si>
  <si>
    <t>Study year</t>
  </si>
  <si>
    <t>Concession start year</t>
  </si>
  <si>
    <t>Concession life (years)</t>
  </si>
  <si>
    <t>Construction period (years)</t>
  </si>
  <si>
    <t>Gateway sites operational from Year</t>
  </si>
  <si>
    <t>Regional &amp; Corridor-support sites operational from Year</t>
  </si>
  <si>
    <t>2. SITE COUNTS &amp; TYPOLOGY (Business Case Reference Case, $155M)</t>
  </si>
  <si>
    <t>Typology</t>
  </si>
  <si>
    <t>Count</t>
  </si>
  <si>
    <t>Capex/site $M</t>
  </si>
  <si>
    <t>Opex/site $M/yr</t>
  </si>
  <si>
    <t>Mega Hub (Calgary-Airdrie)</t>
  </si>
  <si>
    <t>Regional Hub (avg of 3)</t>
  </si>
  <si>
    <t>Infill Gateway Hub (avg of 4)</t>
  </si>
  <si>
    <t>Platform/Network Opex (steady-state)</t>
  </si>
  <si>
    <t>$M/yr</t>
  </si>
  <si>
    <t>3. CAPEX PHASING (% of site capex spent each construction year)</t>
  </si>
  <si>
    <t>Year of construction -&gt;</t>
  </si>
  <si>
    <t>Year 1</t>
  </si>
  <si>
    <t>Year 2</t>
  </si>
  <si>
    <t>Year 3</t>
  </si>
  <si>
    <t>Year 4</t>
  </si>
  <si>
    <t>Mega Hub phasing</t>
  </si>
  <si>
    <t>Regional / Infill phasing</t>
  </si>
  <si>
    <t>4. PARKING REVENUE (steady-state; network total = 1,380 spaces per Business Case)</t>
  </si>
  <si>
    <t>Stalls/site</t>
  </si>
  <si>
    <t>Occupancy %</t>
  </si>
  <si>
    <t>Rate $/stall-hr</t>
  </si>
  <si>
    <t>Mega Hub</t>
  </si>
  <si>
    <t>Regional (avg)</t>
  </si>
  <si>
    <t>Infill (avg)</t>
  </si>
  <si>
    <t>5. RECOVERY POD REVENUE</t>
  </si>
  <si>
    <t>Pods/site</t>
  </si>
  <si>
    <t>Occ. Yr5 of ops</t>
  </si>
  <si>
    <t>Occ. Yr10+ of ops</t>
  </si>
  <si>
    <t>Rate $/session</t>
  </si>
  <si>
    <t>6. FLEET SUBSCRIPTIONS &amp; DIGITAL PLATFORM (network-level)</t>
  </si>
  <si>
    <t>Fleet count - Year 3 of concession</t>
  </si>
  <si>
    <t>Fleet count - Year 10+ of concession</t>
  </si>
  <si>
    <t>Average fee ($/fleet/month)</t>
  </si>
  <si>
    <t>Digital platform revenue - Year 3 ($M)</t>
  </si>
  <si>
    <t>Digital platform revenue - Year 10+ ($M)</t>
  </si>
  <si>
    <t>7. OTHER / ANCILLARY REVENUE (fuel, EV, food - simplified single line, $M/site/yr steady-state)</t>
  </si>
  <si>
    <t>Gateway</t>
  </si>
  <si>
    <t>Regional</t>
  </si>
  <si>
    <t>Corridor-support</t>
  </si>
  <si>
    <t>8. RAMP-UP PROFILE (parking &amp; ancillary revenue - % of steady-state, by years since site opened)</t>
  </si>
  <si>
    <t>Years since opening -&gt;</t>
  </si>
  <si>
    <t>Yr 1</t>
  </si>
  <si>
    <t>Yr 2</t>
  </si>
  <si>
    <t>Yr 3</t>
  </si>
  <si>
    <t>Yr 4</t>
  </si>
  <si>
    <t>Yr 5+</t>
  </si>
  <si>
    <t>Ramp factor</t>
  </si>
  <si>
    <t>9. FINANCING STRUCTURE</t>
  </si>
  <si>
    <t>Equity %</t>
  </si>
  <si>
    <t>Debt %</t>
  </si>
  <si>
    <t>Blended debt rate (auto-calculated from Senior + Mezzanine below)</t>
  </si>
  <si>
    <t>Debt tenor (years, from Year 5)</t>
  </si>
  <si>
    <t>Grace period (years, interest capitalised)</t>
  </si>
  <si>
    <t>Target minimum DSCR</t>
  </si>
  <si>
    <t>10. TAX &amp; INFLATION</t>
  </si>
  <si>
    <t>Corporate tax rate (Alberta + Federal, combined)</t>
  </si>
  <si>
    <t>Revenue / cost indexation (annual)</t>
  </si>
  <si>
    <t>11. SCENARIO TOGGLES (sensitivity switches - 0 = base case)</t>
  </si>
  <si>
    <t>Traffic / occupancy adjustment</t>
  </si>
  <si>
    <t>Capex adjustment</t>
  </si>
  <si>
    <t>Interest rate adjustment (bps)</t>
  </si>
  <si>
    <t>Parking + Pod revenue calibration factor</t>
  </si>
  <si>
    <t>13. PROGRAMWIDE CAPEX (client-requested separate line items, per Business Case)</t>
  </si>
  <si>
    <t>Digital Platform &amp; Program Management ($M)</t>
  </si>
  <si>
    <t>Contingency / 9th-site reserve ($M)</t>
  </si>
  <si>
    <t>14. CCA / DEPRECIATION CLASSES (standard CRA classes, declining balance, half-year rule)</t>
  </si>
  <si>
    <t>Class</t>
  </si>
  <si>
    <t>Rate</t>
  </si>
  <si>
    <t>% of Total Capex</t>
  </si>
  <si>
    <t>Class 1 - Buildings</t>
  </si>
  <si>
    <t>Class 17 - Paving/parking lots</t>
  </si>
  <si>
    <t>Class 8 - Furniture/fixtures/pod units</t>
  </si>
  <si>
    <t>Class 43.1 - Clean energy/EV equipment</t>
  </si>
  <si>
    <t>Class 50 - Computer/digital equipment</t>
  </si>
  <si>
    <t>Target equity IRR (midpoint of 12-15% range)</t>
  </si>
  <si>
    <t>16. SENIOR + MEZZANINE DEBT STRUCTURE (per Business Case)</t>
  </si>
  <si>
    <t>Senior debt % of total capital</t>
  </si>
  <si>
    <t>Senior debt rate (nominal)</t>
  </si>
  <si>
    <t>Mezzanine debt % of total capital</t>
  </si>
  <si>
    <t>Mezzanine debt rate (nominal, senior + 550bps)</t>
  </si>
  <si>
    <t>17. DSRA / WORKING CAPITAL / TERMINAL VALUE (added for high-level build)</t>
  </si>
  <si>
    <t>DSRA target (months of debt service, funded from debt/equity at Yr4)</t>
  </si>
  <si>
    <t>Working capital (% of annual opex, held from first year of ops)</t>
  </si>
  <si>
    <t>Terminal value (x of final-year EBITDA, paid to equity in Yr 30)</t>
  </si>
  <si>
    <t>SITE-BY-SITE DETAIL (8 sites individually, per Business Case Reference Case)</t>
  </si>
  <si>
    <t>Stall/pod counts scaled from typology averages by each site's capex share (blue = input, editable per site).</t>
  </si>
  <si>
    <t>Site</t>
  </si>
  <si>
    <t>Capex $M</t>
  </si>
  <si>
    <t>Open Yr</t>
  </si>
  <si>
    <t>Stalls</t>
  </si>
  <si>
    <t>Park Occ%</t>
  </si>
  <si>
    <t>Park Rate</t>
  </si>
  <si>
    <t>Pods</t>
  </si>
  <si>
    <t>Pod Occ5</t>
  </si>
  <si>
    <t>Pod Occ10</t>
  </si>
  <si>
    <t>Pod Rate</t>
  </si>
  <si>
    <t>Opex $M/yr</t>
  </si>
  <si>
    <t>Other $M/yr</t>
  </si>
  <si>
    <t>Calgary-Airdrie (Mega)</t>
  </si>
  <si>
    <t>West Edmonton-Acheson</t>
  </si>
  <si>
    <t>Red Deer</t>
  </si>
  <si>
    <t>Fort McMurray-Suncor</t>
  </si>
  <si>
    <t>Seebe-Cochrane</t>
  </si>
  <si>
    <t>Brooks</t>
  </si>
  <si>
    <t>Medicine Hat</t>
  </si>
  <si>
    <t>Whitecourt-Fox Creek</t>
  </si>
  <si>
    <t>PER-SITE 30-YEAR SCHEDULES ($M)</t>
  </si>
  <si>
    <t>NETWORK TOTALS (sum of all 8 sites)</t>
  </si>
  <si>
    <t>TOTAL SITE CAPEX</t>
  </si>
  <si>
    <t>TOTAL PARKING REVENUE</t>
  </si>
  <si>
    <t>TOTAL POD REVENUE</t>
  </si>
  <si>
    <t>TOTAL OTHER/ANCILLARY REVENUE</t>
  </si>
  <si>
    <t>TOTAL SITE OPEX (excl. platform)</t>
  </si>
  <si>
    <t>MODEL - 30 YEAR CASH FLOW (all figures $M unless noted)</t>
  </si>
  <si>
    <t>Year #</t>
  </si>
  <si>
    <t>Calendar Year</t>
  </si>
  <si>
    <t>Mega Hub - years since opening</t>
  </si>
  <si>
    <t>Regional/Infill - years since opening</t>
  </si>
  <si>
    <t>CAPEX ($M)</t>
  </si>
  <si>
    <t>Mega Hub capex</t>
  </si>
  <si>
    <t>Regional capex (3 sites)</t>
  </si>
  <si>
    <t>Infill capex (4 sites)</t>
  </si>
  <si>
    <t>Total Capex</t>
  </si>
  <si>
    <t>Debt Draw (70%)</t>
  </si>
  <si>
    <t>Equity Draw (30%)</t>
  </si>
  <si>
    <t>Opening balance</t>
  </si>
  <si>
    <t>Draw</t>
  </si>
  <si>
    <t>Interest</t>
  </si>
  <si>
    <t>Capitalised interest (Yrs 1-4)</t>
  </si>
  <si>
    <t>Scheduled debt service (P+I)</t>
  </si>
  <si>
    <t>Principal repayment</t>
  </si>
  <si>
    <t>Closing balance</t>
  </si>
  <si>
    <t>COMMERCIAL REVENUE ($M)</t>
  </si>
  <si>
    <t>Parking - Mega Hub</t>
  </si>
  <si>
    <t>Parking - Regional (3)</t>
  </si>
  <si>
    <t>Parking - Infill (4)</t>
  </si>
  <si>
    <t>Recovery Pods - Mega Hub</t>
  </si>
  <si>
    <t>Recovery Pods - Regional (3)</t>
  </si>
  <si>
    <t>Recovery Pods - Infill (4)</t>
  </si>
  <si>
    <t>Fleet Subscriptions (network)</t>
  </si>
  <si>
    <t>Digital Platform (network)</t>
  </si>
  <si>
    <t>Other/Ancillary - Mega Hub</t>
  </si>
  <si>
    <t>Other/Ancillary - Regional (3)</t>
  </si>
  <si>
    <t>Other/Ancillary - Infill (4)</t>
  </si>
  <si>
    <t>TOTAL COMMERCIAL REVENUE</t>
  </si>
  <si>
    <t>OPERATING COSTS ($M)</t>
  </si>
  <si>
    <t>Mega Hub Opex</t>
  </si>
  <si>
    <t>Regional Opex (3 sites)</t>
  </si>
  <si>
    <t>Infill Opex (4 sites)</t>
  </si>
  <si>
    <t>Platform/Network Opex</t>
  </si>
  <si>
    <t>TOTAL OPEX</t>
  </si>
  <si>
    <t>EBITDA</t>
  </si>
  <si>
    <t>Tax</t>
  </si>
  <si>
    <t>CFADS</t>
  </si>
  <si>
    <t>Debt Service</t>
  </si>
  <si>
    <t>DSCR</t>
  </si>
  <si>
    <t>Equity Cash Flow</t>
  </si>
  <si>
    <t>Availability Payment (gross)</t>
  </si>
  <si>
    <t>Digital Platform &amp; PM</t>
  </si>
  <si>
    <t>Contingency / 9th-site reserve</t>
  </si>
  <si>
    <t>TOTAL PROGRAM CAPEX (sites + programwide)</t>
  </si>
  <si>
    <t>CCA / DEPRECIATION SCHEDULE (CRA declining-balance classes, half-year rule, $M)</t>
  </si>
  <si>
    <t>TOTAL CCA CLAIMED</t>
  </si>
  <si>
    <t>PAYBACK HELPERS (cumulative equity cash flow, $M)</t>
  </si>
  <si>
    <t>Cumulative Equity CF - Case A (undiscounted)</t>
  </si>
  <si>
    <t>Cumulative Equity CF - Case B (undiscounted)</t>
  </si>
  <si>
    <t>Cumulative Discounted Equity CF - Case B (@ target IRR)</t>
  </si>
  <si>
    <t>LLCR (Loan Life Coverage Ratio)</t>
  </si>
  <si>
    <t>PLCR (Project Life Coverage Ratio)</t>
  </si>
  <si>
    <t>WORKING CAPITAL, DSRA &amp; TERMINAL VALUE (high-level additions)</t>
  </si>
  <si>
    <t>Working Capital Balance</t>
  </si>
  <si>
    <t>Working Capital Delta (cash impact)</t>
  </si>
  <si>
    <t>DSRA Required ($M, 6mo debt service)</t>
  </si>
  <si>
    <t>DSRA Funding (Yr4) / Release (end of tenor)</t>
  </si>
  <si>
    <t>Terminal Value - Case A (Yr30, x final EBITDA)</t>
  </si>
  <si>
    <t>Terminal Value - Case B (Yr30, x final EBITDA)</t>
  </si>
  <si>
    <t>Commercial Revenue</t>
  </si>
  <si>
    <t>Availability Payment</t>
  </si>
  <si>
    <t>TOTAL REVENUE</t>
  </si>
  <si>
    <t>Operating Costs</t>
  </si>
  <si>
    <t>Depreciation (CCA proxy)</t>
  </si>
  <si>
    <t>EBIT</t>
  </si>
  <si>
    <t>Interest Expense (post-Yr4)</t>
  </si>
  <si>
    <t>EBT (pre-tax profit)</t>
  </si>
  <si>
    <t>NET INCOME</t>
  </si>
  <si>
    <t>Simplified: no working capital, no DSRA cash, cash assumed fully distributed each year. See Read Me.</t>
  </si>
  <si>
    <t>ASSETS</t>
  </si>
  <si>
    <t>Cumulative Program Capex</t>
  </si>
  <si>
    <t>less: Cumulative CCA / Depreciation</t>
  </si>
  <si>
    <t>Net PP&amp;E</t>
  </si>
  <si>
    <t>TOTAL ASSETS</t>
  </si>
  <si>
    <t>LIABILITIES &amp; EQUITY</t>
  </si>
  <si>
    <t>Debt (closing balance)</t>
  </si>
  <si>
    <t>Equity (paid-in + retained, plug)</t>
  </si>
  <si>
    <t>TOTAL LIABILITIES &amp; EQUITY</t>
  </si>
  <si>
    <t>CAPITAL STACK</t>
  </si>
  <si>
    <t>Total Capex ($M)</t>
  </si>
  <si>
    <t>Debt (70%) ($M)</t>
  </si>
  <si>
    <t>Equity (30%) ($M)</t>
  </si>
  <si>
    <t>Case A</t>
  </si>
  <si>
    <t>Case B</t>
  </si>
  <si>
    <t>Minimum DSCR (Yrs 5-30)</t>
  </si>
  <si>
    <t>Average DSCR (Yrs 5-30)</t>
  </si>
  <si>
    <t>Equity IRR (nominal, 30-yr)</t>
  </si>
  <si>
    <t>Cumulative Equity Distributions ($M)</t>
  </si>
  <si>
    <t>AVAILABILITY PAYMENT (CASE B)</t>
  </si>
  <si>
    <t>Steady-state annual Availability Payment ($M, Yr 10)</t>
  </si>
  <si>
    <t>Peak annual Availability Payment ($M)</t>
  </si>
  <si>
    <t>Total Availability Payments over concession ($M, nominal)</t>
  </si>
  <si>
    <t>Total Commercial Revenue</t>
  </si>
  <si>
    <t>Total Opex</t>
  </si>
  <si>
    <t>NPV, IRR &amp; PAYBACK</t>
  </si>
  <si>
    <t>Equity NPV @ target IRR (13.5%) ($M)</t>
  </si>
  <si>
    <t>Equity IRR (nominal)</t>
  </si>
  <si>
    <t>Simple Payback (undiscounted, years)</t>
  </si>
  <si>
    <t>Discounted Payback @ target IRR (years, Case B)</t>
  </si>
  <si>
    <t>Minimum LLCR (Yrs 5-26, debt tenor)</t>
  </si>
  <si>
    <t>Minimum PLCR (Yrs 5-26, full remaining project life)</t>
  </si>
  <si>
    <t>PV of Availability Payments (public authority cost, @6% discount)</t>
  </si>
  <si>
    <t>SENSITIVITY ANALYSIS</t>
  </si>
  <si>
    <t>Scenario</t>
  </si>
  <si>
    <t>Min DSCR - Case A</t>
  </si>
  <si>
    <t>Min DSCR - Case B</t>
  </si>
  <si>
    <t>Equity IRR - Case B</t>
  </si>
  <si>
    <t>Steady-state AP ($M/yr)</t>
  </si>
  <si>
    <t>Base Case</t>
  </si>
  <si>
    <t>Traffic/Occupancy -20%</t>
  </si>
  <si>
    <t>Capex +20%</t>
  </si>
  <si>
    <t>Interest +150bps</t>
  </si>
  <si>
    <t>CONCLUSION &amp; RECOMMENDATIONS</t>
  </si>
  <si>
    <t>Conclusion</t>
  </si>
  <si>
    <t>Recommendations for Next Steps</t>
  </si>
  <si>
    <t>1. Reconcile the site list</t>
  </si>
  <si>
    <t>2. Validate parking and pod pricing/occupancy assumptions</t>
  </si>
  <si>
    <t>3. Confirm the operating cost basis</t>
  </si>
  <si>
    <t>4. Engage lenders to firm up financing terms</t>
  </si>
  <si>
    <t>5. Confirm CCA / tax treatment with a qualified tax advisor</t>
  </si>
  <si>
    <t>6. Re-solve the availability payment top-up whenever assumptions change</t>
  </si>
  <si>
    <t>What This Model Is Not (Yet)</t>
  </si>
  <si>
    <t>7. Address the LLCR dip near debt maturity</t>
  </si>
  <si>
    <t>Built to maximize institutional credibility using this engagement's available inputs and standard Canadian project-finance conventions. See below for exactly what was added.</t>
  </si>
  <si>
    <t>SITE-LEVEL DETAIL</t>
  </si>
  <si>
    <t>All 8 sites are modelled individually (Site Detail tab).</t>
  </si>
  <si>
    <t>Capex is the Business Case's exact per-site figure. Stall/pod counts and opex were scaled from the typology averages by each site's capex share (e.g. a site 8% above its typology's average capex gets 8% more stalls/pods/opex) this is this model's own estimate, not client-confirmed per-site data (none exists yet), and should be replaced once real site-level surveys exist.</t>
  </si>
  <si>
    <t>SENIOR + MEZZANINE DEBT</t>
  </si>
  <si>
    <t>Debt is split 55% senior (6.0%) / 15% mezzanine (11.5%, senior + 550bps, per the Business Case's stated mezzanine pricing convention) / 30% equity, blended to ~7.2%. This is a BLENDED-RATE simplification (both tranches amortise on the same schedule) rather than two fully separate schedules with different tenors/priorities a full build would size and amortise each tranche separately once real lenders are engaged.</t>
  </si>
  <si>
    <t>DSRA, WORKING CAPITAL, TERMINAL VALUE</t>
  </si>
  <si>
    <r>
      <rPr>
        <b/>
        <sz val="11"/>
        <color theme="1"/>
        <rFont val="Times New Roman"/>
        <family val="1"/>
      </rPr>
      <t>Working capital:</t>
    </r>
    <r>
      <rPr>
        <sz val="11"/>
        <color theme="1"/>
        <rFont val="Times New Roman"/>
        <family val="1"/>
      </rPr>
      <t xml:space="preserve"> 5% of annual opex, built up from first year of operations and fully released in Year 30, flowing through CFADS.</t>
    </r>
  </si>
  <si>
    <r>
      <rPr>
        <b/>
        <sz val="11"/>
        <color theme="1"/>
        <rFont val="Times New Roman"/>
        <family val="1"/>
      </rPr>
      <t>DSRA:</t>
    </r>
    <r>
      <rPr>
        <sz val="11"/>
        <color theme="1"/>
        <rFont val="Times New Roman"/>
        <family val="1"/>
      </rPr>
      <t xml:space="preserve"> 6 months of debt service, funded by an additional equity call at Year 4, released back to equity at the end of the debt tenor (Year 26).</t>
    </r>
  </si>
  <si>
    <t>Terminal value: 6.0x final-year EBITDA, paid to equity in Year 30 a standard simplified proxy for the network's ongoing value beyond the 30-year concession (no formal residual valuationhas been done; this multiple is this model's own placeholder assumption, flagged for review).</t>
  </si>
  <si>
    <t>A constant DSCR ("sculpted") debt repayment profile was evaluated as part of the financing structure, as it can improve debt service alignment with project cash flows over the concession period. However, given the current stage of the model and the objective of maintaining a transparent, robust, and easily auditable financial model, a flat annuity repayment profile has been adopted. This approach provides a stable financing structure while keeping the model straightforward for review and sensitivity analysis. A sculpted repayment profile can be incorporated during the financing stage once the debt structure and lender requirements are finalized.</t>
  </si>
  <si>
    <t>SCULPTED DEBT REPAYMENT</t>
  </si>
  <si>
    <t>KEY RESULT</t>
  </si>
  <si>
    <t>Case A (user-funded only): Minimum DSCR -1.07x, average 0.11x, still clearly unbankable.</t>
  </si>
  <si>
    <t>Case B (PPP with availability payment): Minimum DSCR 1.50x, Equity IRR 13.5% (within the 12-15% target), Equity NPV @ 13.5% discount ≈ $0 (confirms the IRR solve is internally consistent).</t>
  </si>
  <si>
    <t>Steady-state availability payment ≈ CAD 20.3M/year (within the Business Case's own CAD 15-25M/yr expectation). PV of availability payments to the public authority ≈ CAD 212.2M over 30 years.Minimum LLCR is 0.78x near debt maturity (Year 25) still the one soft spot in an otherwise healthy bankability profile; see Conclusion &amp; Recommendations for the structuring fix options.</t>
  </si>
  <si>
    <t>AP(year) = MAX(0, Debt Service x 1.35 target DSCR - Case A CFADS) + a flat annual top-up ($6.44M/yr, Assumptions C99, in RED), re-solved by iteration each time the capital structure changes so that Case B equity IRR lands at 13.5%. Re-run the solver script if any revenue/opex/capex/financing assumption changes it will not auto-correct.</t>
  </si>
  <si>
    <t>SITE LIST, OPEX, TAX, ETC.</t>
  </si>
  <si>
    <t>Site list uses the Business Case's 8 sites (differs from the Demand Analysis report's list client is aware, confirmed proceeding with Business Case list). Opex uses the brief's CAD 30-40M/yr anchor (client confirmed, not the Business Case Appendix's lower figure). CCA/depreciation uses 5 standard CRA classes (allocation % is this model's own estimate). Parking/pod revenue still carries a 0.42 calibration factor (Assumptions C80, in RED) still an open flag, not yet addressed by the client. Interest deducted for tax purposes only after Year 4 (when cash-paid).</t>
  </si>
  <si>
    <t>Not a lender-underwritten model: real term sheets, a fully separate senior/mezzanine amortisation, monthly/quarterly (vs annual) cash flow granularity for debt sizing, Monte Carlo/probabilistic sensitivity, and third-party validated site-level revenue data would all be expected in a final lender-facing or government-approved submission. This is the appropriate ceiling for a model built from a brief, a business case, and standard market conventions, without live lender or site-survey input.</t>
  </si>
  <si>
    <t>Blue = input/assumption</t>
  </si>
  <si>
    <t>Black = formula</t>
  </si>
  <si>
    <t>Red = flagged/solved cell needing validation</t>
  </si>
  <si>
    <t>EXECUTIVE SUMMARY : FleetPods Alberta Phase 1 Financial Model</t>
  </si>
  <si>
    <t>FleetPods proposes an 8-site truck parking, rest-pod, and driver-service network across Alberta's principal freight corridors, with a total program capital cost of CAD 155.1M (2026 real terms). The network combines one flagship Mega Hub (Calgary-Airdrie), three Regional Hubs (West Edmonton-Acheson, Red Deer, Fort McMurray-Suncor), and four lighter Infill Gateway Hubs (Seebe-Cochrane, Brooks, Medicine Hat, Whitecourt-Fox Creek), financed on a 70% debt / 30% equity structure over a 30-year concession.</t>
  </si>
  <si>
    <t>No. This model tests two funding structures side by side and finds that commercial revenue (parking, recovery pods, fleet subscriptions, digital platform, ancillary services) cannot on its own service the debt required to build the network. Under a user-funded-only structure (Case A), minimum DSCR is negative and averages 0.13x across the concession that is far below the 1.0x break-even threshold lenders require, let alone the 1.35x typically needed for investment-grade project debt.</t>
  </si>
  <si>
    <t>Case B remains resilient because the availability payment mechanism flexes with underlying performance.</t>
  </si>
  <si>
    <t>Case A remains unbankable in every scenario tested, while</t>
  </si>
  <si>
    <t>Introducing a government availability payment (Case B), sized to deliver both a 1.35x minimum DSCR and a 12-15% equity IRR, restores the project to bankable metrics: 1.56x minimum DSCR, 13.5% equity IRR. The steady-state availability payment required is approximately CAD 18.4M/year consistent with the range the client's own Business Case had anticipated (CAD 15-25M/year).</t>
  </si>
  <si>
    <t>Sensitivity testing confirms this conclusion holds under downside scenarios (weaker traffic/occupancy,higher capex, higher interest rates):</t>
  </si>
  <si>
    <t>See the Conclusion &amp; Recommendations tab for the full list.</t>
  </si>
  <si>
    <t>This is a working financial model built using Business Case figures, the original project brief, and standard Canadian project-finance and CCA/tax conventions. Every assumption is clearly flagged (see Assumptions tab and Read Me tab) and colour-coded (blue = input, red = flagged/solved). Two items in particular should be confirmed or refined before this goes to government:</t>
  </si>
  <si>
    <t xml:space="preserve">(1) the parking/podrevenue calibration factor, and </t>
  </si>
  <si>
    <t>(2) confirmed (rather than modelled) financing terms once lenders are engaged.</t>
  </si>
  <si>
    <t>This model includes site-by-site detail for all 8 sites, a senior + mezzanine debt structure, a debt service reserve account, working capital, and a terminal value at Year 30, in addition to the CCA/depreciation and dual DSCR + equity-IRR availability payment sizing already in place.</t>
  </si>
  <si>
    <t>Case A minimum DSCR -1.07x (unbankable);</t>
  </si>
  <si>
    <t>Case B minimum DSCR 1.50x, equity IRR 13.5%, steady-state availability payment ~CAD 20.3M/year, present value of availability payments to the public authority ~CAD 212.2M over 30 years. See Read Me for full detail on every addition and the one remaining structuring concern (LLCR dips to 0.78x near debt maturity).</t>
  </si>
  <si>
    <t>FLEETPODS ALBERTA PHASE 1 : RESULTS DASHBOARD</t>
  </si>
  <si>
    <t>$155.1M program - 8 sites - 30-year concession - Case A vs Case B (PPP + Availability Payment)</t>
  </si>
  <si>
    <t>MIN DSCR - CASE A (no AP)</t>
  </si>
  <si>
    <t>MIN DSCR - CASE B (with AP)</t>
  </si>
  <si>
    <t>DISCOUNTED PAYBACK - CASE B</t>
  </si>
  <si>
    <t>EQUITY IRR - CASE B</t>
  </si>
  <si>
    <t>EQUITY IRR - CASE A</t>
  </si>
  <si>
    <t>Under Case A (user-fees only), the project cannot service its own debt: DSCR is negative in most operating years and averages well below the 1.0x break-even line across the 30-year concession.</t>
  </si>
  <si>
    <t>Under Case B, an availability payment sized to deliver both a 1.35x minimum DSCR AND a 12-15% equity IRR restores the project to bankable, investment-grade metrics without relying on user fees.</t>
  </si>
  <si>
    <r>
      <t xml:space="preserve">12. REVENUE CALIBRATION FACTOR </t>
    </r>
    <r>
      <rPr>
        <b/>
        <sz val="11"/>
        <color rgb="FFFF0000"/>
        <rFont val="Times New Roman"/>
        <family val="1"/>
      </rPr>
      <t>(FLAG - see Read Me)</t>
    </r>
  </si>
  <si>
    <t>AP flat top-up ($M/yr, operating years SOLVED, see Read Me)</t>
  </si>
  <si>
    <t>15. AVAILABILITY PAYMENT : EQUITY IRR FLOOR (client requirement: DSCR AND equity IRR)</t>
  </si>
  <si>
    <t>Calgary-Airdrie (Mega) - Years since opening</t>
  </si>
  <si>
    <t>Calgary-Airdrie (Mega) - Capex</t>
  </si>
  <si>
    <t>Calgary-Airdrie (Mega) - Parking Revenue</t>
  </si>
  <si>
    <t>Calgary-Airdrie (Mega) - Pod Revenue</t>
  </si>
  <si>
    <t>Calgary-Airdrie (Mega) - Other/Ancillary Revenue</t>
  </si>
  <si>
    <t>Calgary-Airdrie (Mega) - Opex</t>
  </si>
  <si>
    <t>West Edmonton-Acheson - Years since opening</t>
  </si>
  <si>
    <t>West Edmonton-Acheson - Capex</t>
  </si>
  <si>
    <t>West Edmonton-Acheson - Parking Revenue</t>
  </si>
  <si>
    <t>West Edmonton-Acheson - Pod Revenue</t>
  </si>
  <si>
    <t>West Edmonton-Acheson - Other/Ancillary Revenue</t>
  </si>
  <si>
    <t>West Edmonton-Acheson - Opex</t>
  </si>
  <si>
    <t>Red Deer - Years since opening</t>
  </si>
  <si>
    <t>Red Deer - Capex</t>
  </si>
  <si>
    <t>Red Deer - Parking Revenue</t>
  </si>
  <si>
    <t>Red Deer - Pod Revenue</t>
  </si>
  <si>
    <t>Red Deer - Other/Ancillary Revenue</t>
  </si>
  <si>
    <t>Red Deer - Opex</t>
  </si>
  <si>
    <t>Fort McMurray-Suncor - Years since opening</t>
  </si>
  <si>
    <t>Fort McMurray-Suncor - Capex</t>
  </si>
  <si>
    <t>Fort McMurray-Suncor - Parking Revenue</t>
  </si>
  <si>
    <t>Fort McMurray-Suncor - Pod Revenue</t>
  </si>
  <si>
    <t>Fort McMurray-Suncor - Other/Ancillary Revenue</t>
  </si>
  <si>
    <t>Fort McMurray-Suncor - Opex</t>
  </si>
  <si>
    <t>Seebe-Cochrane - Years since opening</t>
  </si>
  <si>
    <t>Seebe-Cochrane - Capex</t>
  </si>
  <si>
    <t>Seebe-Cochrane - Parking Revenue</t>
  </si>
  <si>
    <t>Seebe-Cochrane - Pod Revenue</t>
  </si>
  <si>
    <t>Seebe-Cochrane - Other/Ancillary Revenue</t>
  </si>
  <si>
    <t>Seebe-Cochrane - Opex</t>
  </si>
  <si>
    <t>Brooks - Years since opening</t>
  </si>
  <si>
    <t>Brooks - Capex</t>
  </si>
  <si>
    <t>Brooks - Parking Revenue</t>
  </si>
  <si>
    <t>Brooks - Pod Revenue</t>
  </si>
  <si>
    <t>Brooks - Other/Ancillary Revenue</t>
  </si>
  <si>
    <t>Brooks - Opex</t>
  </si>
  <si>
    <t>Medicine Hat - Years since opening</t>
  </si>
  <si>
    <t>Medicine Hat - Capex</t>
  </si>
  <si>
    <t>Medicine Hat - Parking Revenue</t>
  </si>
  <si>
    <t>Medicine Hat - Pod Revenue</t>
  </si>
  <si>
    <t>Medicine Hat - Other/Ancillary Revenue</t>
  </si>
  <si>
    <t>Medicine Hat - Opex</t>
  </si>
  <si>
    <t>Whitecourt-Fox Creek - Years since opening</t>
  </si>
  <si>
    <t>Whitecourt-Fox Creek - Capex</t>
  </si>
  <si>
    <t>Whitecourt-Fox Creek - Parking Revenue</t>
  </si>
  <si>
    <t>Whitecourt-Fox Creek - Pod Revenue</t>
  </si>
  <si>
    <t>Whitecourt-Fox Creek - Other/Ancillary Revenue</t>
  </si>
  <si>
    <t>Whitecourt-Fox Creek - Opex</t>
  </si>
  <si>
    <t>DEBT SCHEDULE ($M) - interest capitalised during Yrs 1-4 (grace); amortising P+I from Yr 5</t>
  </si>
  <si>
    <t>CASE A - USER-FUNDED ONLY (no availability payment)</t>
  </si>
  <si>
    <t>CASE B - PPP WITH AVAILABILITY PAYMENT (endogenous, targets min DSCR)</t>
  </si>
  <si>
    <t>PROGRAMWIDE CAPEX (Spread evenly Yrs 1-4, $M)</t>
  </si>
  <si>
    <t>Class 1 (Buildings, 4%) - Additions</t>
  </si>
  <si>
    <t>Class 1 (Buildings, 4%) - CCA claimed</t>
  </si>
  <si>
    <t>Class 1 (Buildings, 4%) - Closing UCC</t>
  </si>
  <si>
    <t>Class 17 (Paving, 8%) - Additions</t>
  </si>
  <si>
    <t>Class 17 (Paving, 8%) - CCA claimed</t>
  </si>
  <si>
    <t>Class 17 (Paving, 8%) - Closing UCC</t>
  </si>
  <si>
    <t>Class 8 (Furniture/Pods, 20%) - Additions</t>
  </si>
  <si>
    <t>Class 8 (Furniture/Pods, 20%) - CCA claimed</t>
  </si>
  <si>
    <t>Class 8 (Furniture/Pods, 20%) - Closing UCC</t>
  </si>
  <si>
    <t>Class 43.1 (Clean energy/EV, 30%) - Additions</t>
  </si>
  <si>
    <t>Class 43.1 (Clean energy/EV, 30%) - CCA claimed</t>
  </si>
  <si>
    <t>Class 43.1 (Clean energy/EV, 30%) - Closing UCC</t>
  </si>
  <si>
    <t>Class 50 (Digital/IT, 55%) - Additions</t>
  </si>
  <si>
    <t>Class 50 (Digital/IT, 55%) - CCA claimed</t>
  </si>
  <si>
    <t>Class 50 (Digital/IT, 55%) - Closing UCC</t>
  </si>
  <si>
    <t>BANKABILITY RATIOS : LLCR &amp; PLCR (Case B, standard PPP lender metrics)</t>
  </si>
  <si>
    <t>INCOME STATEMENT : CASE B (PPP with Availability Payment), $M</t>
  </si>
  <si>
    <t>Illustrative / simplified : see Read Me for basis. Case B shown as this is the recommended structure.</t>
  </si>
  <si>
    <t>Cash (assumed nil - fully distributed)</t>
  </si>
  <si>
    <t>BALANCE SHEET - CASE B (simplified/summary presentation), $M</t>
  </si>
  <si>
    <t>CASE A vs CASE B - KEY RESULTS</t>
  </si>
  <si>
    <t>Note: this Summary pulls live from the Model tab. Change any Assumptions input and every number above recalculates automatically.</t>
  </si>
  <si>
    <t>REVENUE MIX - STEADY STATE (Year 15, $M)</t>
  </si>
  <si>
    <t>BANKABILITY RATIOS (Case B) - standard PPP lender metrics</t>
  </si>
  <si>
    <t>SUMMARY OUTPUTS - FleetPods Alberta Phase 1</t>
  </si>
  <si>
    <t>Static snapshot : Each scenario recalculated in full (not a live Excel data table). To re-run: change the Scenario Toggles on the Assumptions tab and read the Summary tab, then restore to 0/0/0 for base case. See Read Me.</t>
  </si>
  <si>
    <t>RESULTS</t>
  </si>
  <si>
    <t>Case A's DSCR stays deeply negative to marginally-negative across every downside scenario tested under no scenario modelled does user-fee revenue alone come close to covering debt service.</t>
  </si>
  <si>
    <t>Case B's DSCR and equity IRR stay resilient because the availability payment mechanism is designed to flex: the DSCR-driven component scales automatically with debt service and CFADS shortfalls. The flat top-up is NOT re-solved per scenario here (a live re-solve would need the iteration script re-run) - so Case B equity IRR drifts modestly (12.2%-14.3%) rather than sitting exactly on 13.5% in each downside case.</t>
  </si>
  <si>
    <t>Downside scenarios generally require a LARGER availability payment (up to ~$25.6M/yr steady-state under the traffic downside), reinforcing that the payment mechanism not user fees is what keeps the project bankable under stress.</t>
  </si>
  <si>
    <t>The financial model demonstrates a clear and quantified case that the FleetPods Alberta Phase 1 network is not commercially bankable on user fees alone, and that a government availability payment of approximately CAD 18-20M/year (steady-state) is both necessary and sufficient to bring the project to standard infrastructure investment metrics (1.35x+ DSCR, 12-15% equity IRR). This holds up under stress testing across traffic, capex, and interest-rate downside scenarios.</t>
  </si>
  <si>
    <t>The Demand Analysis (traffic study) and the Business Case (capex source) name different sites for 3 of the 8 nodes. Confirm one authoritative Phase 1 site list before this model or the underlying business case goes to government a reviewer will likely notice the inconsistency.</t>
  </si>
  <si>
    <t>The brief's own bottom-up unit assumptions (stall counts x occupancy x blended $/hour) produced revenue materially above its own top-down steady-state anchor. A 0.42 calibration factor has been applied to bring the two in line, but this should be replaced with validated market rates from comparable Alberta/Canadian truck-parking and rest-stop operators.</t>
  </si>
  <si>
    <t>The original brief (CAD 30-40M/yr) and the Business Case Appendix (CAD 2.8-3.9M/yr) disagree by roughly 9x. This model uses the higher figure as the more defensible basis, but the client should confirm which cost basis and which cost categories it intends to stand behind publicly.</t>
  </si>
  <si>
    <t>The model currently uses a simplified single-tranche 70/30 debt/equity structure at a flat 6%. The Business Case references a more realistic senior + mezzanine structure (200-300bps and 400-700bps over GoC bonds respectively). Firming this up will change the DSCR and IRR outputs meaningfully and should be prioritized once the model moves beyond this working draft stage.</t>
  </si>
  <si>
    <t>The CCA class allocation (Buildings, Paving, Furniture/Pods, Clean Energy/EV, Digital/IT) is this model's own estimate based on the general nature of the assets, not a client-confirmed or CRA reviewed allocation. Given the material impact of the tax shield on equity returns, this should be reviewed by a Canadian tax professional before the numbers are relied upon externally.</t>
  </si>
  <si>
    <t>The flat top-up added to the DSCR-driven availability payment (to hit the 12-15% equity IRR target) was solved by iteration for this specific base case. Any change to revenue, opex, or capex assumptions will require re-solving this value.</t>
  </si>
  <si>
    <t>This is a working/basic-scope model, not an audited or lender-ready financial model. It does not yet include: site-level (vs typology-level) granularity, a debt service reserve account, working capital, terminal/residual value, or a full three-statement build with all standard audit trail. These would be appropriate additions for a lender-facing or formal government submission package, once the assumptions above are confirmed.</t>
  </si>
  <si>
    <t>Minimum LLCR is 0.78x around Year 25, even though DSCR and PLCR stay healthy throughout a lender would flag this. Once real financing is being negotiated, consider: a longer senior tenor, a sculpted (constant-DSCR) repayment profile instead of flat annuity (flagged in Read Me as not built here due to a circularity with the availability payment), or a slightly smaller senior debt quantum with more mezzanine/equity absorbing the tail-end risk.</t>
  </si>
  <si>
    <t>8. Confirm the mezzanine pricing and DSRA/working capital/terminal value assumptions The 55/15 senior/mezzanine split, 11.5% mezzanine rate, 6-month DSRA, 5% working capital, and 6.0x terminal value multiple are this model's own placeholder assumptions (not client-provided), included to reach a credible 'full' institutional structure. Each should be confirmed or replaced with real terms as lenders, tax advisors, and asset valuators are engaged.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</si>
</sst>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M"/>
    <numFmt numFmtId="165" formatCode="0.00\x"/>
    <numFmt numFmtId="166" formatCode="0.0%"/>
    <numFmt numFmtId="167" formatCode="0.0&quot; yrs&quot;"/>
    <numFmt numFmtId="168" formatCode="\$#,##0.0;&quot;($&quot;#,##0.0\);\-"/>
    <numFmt numFmtId="169" formatCode="\$#,##0.00;&quot;($&quot;#,##0.00\);\-"/>
    <numFmt numFmtId="170" formatCode="\$#,##0.0"/>
    <numFmt numFmtId="171" formatCode="0&quot; yrs&quot;"/>
  </numFmts>
  <fonts count="31" x14ac:knownFonts="1">
    <font>
      <sz val="11"/>
      <color theme="1"/>
      <name val="Calibri"/>
      <family val="2"/>
      <charset val="1"/>
    </font>
    <font>
      <b/>
      <sz val="11"/>
      <name val="Cambria"/>
      <charset val="1"/>
    </font>
    <font>
      <sz val="11"/>
      <color theme="1"/>
      <name val="Times New Roman"/>
      <family val="1"/>
    </font>
    <font>
      <b/>
      <sz val="11"/>
      <color theme="1"/>
      <name val="Times New Roman"/>
      <family val="1"/>
    </font>
    <font>
      <b/>
      <sz val="14"/>
      <name val="Times New Roman"/>
      <family val="1"/>
    </font>
    <font>
      <b/>
      <sz val="11"/>
      <color rgb="FF1F4E78"/>
      <name val="Times New Roman"/>
      <family val="1"/>
    </font>
    <font>
      <b/>
      <sz val="11"/>
      <name val="Times New Roman"/>
      <family val="1"/>
    </font>
    <font>
      <i/>
      <sz val="9"/>
      <name val="Times New Roman"/>
      <family val="1"/>
    </font>
    <font>
      <sz val="11"/>
      <color rgb="FF0000FF"/>
      <name val="Times New Roman"/>
      <family val="1"/>
    </font>
    <font>
      <sz val="11"/>
      <color rgb="FF000000"/>
      <name val="Times New Roman"/>
      <family val="1"/>
    </font>
    <font>
      <b/>
      <sz val="11"/>
      <color rgb="FFFF0000"/>
      <name val="Times New Roman"/>
      <family val="1"/>
    </font>
    <font>
      <sz val="10"/>
      <color rgb="FF595959"/>
      <name val="Times New Roman"/>
      <family val="1"/>
    </font>
    <font>
      <b/>
      <sz val="20"/>
      <color rgb="FF1F4E78"/>
      <name val="Times New Roman"/>
      <family val="1"/>
    </font>
    <font>
      <b/>
      <sz val="20"/>
      <color rgb="FFC00000"/>
      <name val="Times New Roman"/>
      <family val="1"/>
    </font>
    <font>
      <b/>
      <sz val="20"/>
      <color rgb="FF375623"/>
      <name val="Times New Roman"/>
      <family val="1"/>
    </font>
    <font>
      <sz val="10.5"/>
      <name val="Times New Roman"/>
      <family val="1"/>
    </font>
    <font>
      <sz val="11"/>
      <color rgb="FFFF0000"/>
      <name val="Times New Roman"/>
      <family val="1"/>
    </font>
    <font>
      <sz val="11"/>
      <name val="Times New Roman"/>
      <family val="1"/>
    </font>
    <font>
      <b/>
      <u/>
      <sz val="12"/>
      <name val="Times New Roman"/>
      <family val="1"/>
    </font>
    <font>
      <i/>
      <sz val="11"/>
      <color theme="1"/>
      <name val="Times New Roman"/>
      <family val="1"/>
    </font>
    <font>
      <sz val="10.5"/>
      <color rgb="FFFF0000"/>
      <name val="Times New Roman"/>
      <family val="1"/>
    </font>
    <font>
      <sz val="10"/>
      <color theme="1"/>
      <name val="Times New Roman"/>
      <family val="1"/>
    </font>
    <font>
      <b/>
      <sz val="12"/>
      <color theme="1"/>
      <name val="Times New Roman"/>
      <family val="1"/>
    </font>
    <font>
      <sz val="9"/>
      <name val="Times New Roman"/>
      <family val="1"/>
    </font>
    <font>
      <b/>
      <sz val="9"/>
      <name val="Times New Roman"/>
      <family val="1"/>
    </font>
    <font>
      <b/>
      <sz val="9"/>
      <name val="Cambria"/>
      <family val="1"/>
    </font>
    <font>
      <b/>
      <sz val="11"/>
      <name val="Cambria"/>
      <family val="1"/>
    </font>
    <font>
      <sz val="10.5"/>
      <name val="Cambria"/>
      <family val="1"/>
    </font>
    <font>
      <b/>
      <u/>
      <sz val="12"/>
      <name val="Cambria"/>
      <family val="1"/>
    </font>
    <font>
      <sz val="10.5"/>
      <color rgb="FFFF0000"/>
      <name val="Cambria"/>
      <family val="1"/>
    </font>
    <font>
      <i/>
      <sz val="11"/>
      <name val="Times New Roman"/>
      <family val="1"/>
    </font>
  </fonts>
  <fills count="8">
    <fill>
      <patternFill patternType="none"/>
    </fill>
    <fill>
      <patternFill patternType="gray125"/>
    </fill>
    <fill>
      <patternFill patternType="solid">
        <fgColor rgb="FFF2F2F2"/>
        <bgColor rgb="FFFFFFFF"/>
      </patternFill>
    </fill>
    <fill>
      <patternFill patternType="solid">
        <fgColor rgb="FFFFFF00"/>
        <bgColor rgb="FFFFFF00"/>
      </patternFill>
    </fill>
    <fill>
      <patternFill patternType="solid">
        <fgColor theme="0" tint="-0.249977111117893"/>
        <bgColor indexed="64"/>
      </patternFill>
    </fill>
    <fill>
      <patternFill patternType="solid">
        <fgColor rgb="FFFFFF00"/>
        <bgColor indexed="64"/>
      </patternFill>
    </fill>
    <fill>
      <patternFill patternType="solid">
        <fgColor theme="0" tint="-0.249977111117893"/>
        <bgColor rgb="FF003366"/>
      </patternFill>
    </fill>
    <fill>
      <patternFill patternType="solid">
        <fgColor theme="0" tint="-0.249977111117893"/>
        <bgColor rgb="FFBFBFBF"/>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02">
    <xf numFmtId="0" fontId="0" fillId="0" borderId="0" xfId="0"/>
    <xf numFmtId="0" fontId="1" fillId="0" borderId="0" xfId="0" applyFont="1"/>
    <xf numFmtId="165" fontId="0" fillId="0" borderId="0" xfId="0" applyNumberFormat="1"/>
    <xf numFmtId="165" fontId="0" fillId="3" borderId="0" xfId="0" applyNumberFormat="1" applyFill="1"/>
    <xf numFmtId="166" fontId="0" fillId="3" borderId="0" xfId="0" applyNumberFormat="1" applyFill="1"/>
    <xf numFmtId="166" fontId="0" fillId="0" borderId="0" xfId="0" applyNumberFormat="1"/>
    <xf numFmtId="170" fontId="0" fillId="3" borderId="0" xfId="0" applyNumberFormat="1" applyFill="1"/>
    <xf numFmtId="0" fontId="0" fillId="3" borderId="0" xfId="0" applyFill="1"/>
    <xf numFmtId="170" fontId="0" fillId="0" borderId="0" xfId="0" applyNumberFormat="1"/>
    <xf numFmtId="0" fontId="2" fillId="0" borderId="0" xfId="0" applyFont="1"/>
    <xf numFmtId="0" fontId="4" fillId="0" borderId="0" xfId="0" applyFont="1"/>
    <xf numFmtId="0" fontId="5" fillId="0" borderId="0" xfId="0" applyFont="1"/>
    <xf numFmtId="168" fontId="2" fillId="0" borderId="0" xfId="0" applyNumberFormat="1" applyFont="1"/>
    <xf numFmtId="0" fontId="6" fillId="0" borderId="0" xfId="0" applyFont="1"/>
    <xf numFmtId="165" fontId="2" fillId="3" borderId="0" xfId="0" applyNumberFormat="1" applyFont="1" applyFill="1"/>
    <xf numFmtId="165" fontId="2" fillId="0" borderId="0" xfId="0" applyNumberFormat="1" applyFont="1"/>
    <xf numFmtId="166" fontId="2" fillId="3" borderId="0" xfId="0" applyNumberFormat="1" applyFont="1" applyFill="1"/>
    <xf numFmtId="168" fontId="2" fillId="3" borderId="0" xfId="0" applyNumberFormat="1" applyFont="1" applyFill="1"/>
    <xf numFmtId="166" fontId="2" fillId="0" borderId="0" xfId="0" applyNumberFormat="1" applyFont="1"/>
    <xf numFmtId="167" fontId="2" fillId="0" borderId="0" xfId="0" applyNumberFormat="1" applyFont="1"/>
    <xf numFmtId="170" fontId="2" fillId="3" borderId="0" xfId="0" applyNumberFormat="1" applyFont="1" applyFill="1"/>
    <xf numFmtId="169" fontId="2" fillId="0" borderId="0" xfId="0" applyNumberFormat="1" applyFont="1"/>
    <xf numFmtId="169" fontId="6" fillId="0" borderId="0" xfId="0" applyNumberFormat="1" applyFont="1"/>
    <xf numFmtId="0" fontId="8" fillId="0" borderId="0" xfId="0" applyFont="1"/>
    <xf numFmtId="166" fontId="8" fillId="0" borderId="0" xfId="0" applyNumberFormat="1" applyFont="1"/>
    <xf numFmtId="168" fontId="8" fillId="0" borderId="0" xfId="0" applyNumberFormat="1" applyFont="1"/>
    <xf numFmtId="166" fontId="9" fillId="0" borderId="0" xfId="0" applyNumberFormat="1" applyFont="1"/>
    <xf numFmtId="2" fontId="10" fillId="0" borderId="0" xfId="0" applyNumberFormat="1" applyFont="1"/>
    <xf numFmtId="169" fontId="10" fillId="0" borderId="0" xfId="0" applyNumberFormat="1" applyFont="1"/>
    <xf numFmtId="0" fontId="15" fillId="0" borderId="0" xfId="0" applyFont="1"/>
    <xf numFmtId="0" fontId="2" fillId="0" borderId="0" xfId="0" applyFont="1" applyAlignment="1">
      <alignment horizontal="justify" wrapText="1"/>
    </xf>
    <xf numFmtId="0" fontId="15" fillId="0" borderId="0" xfId="0" applyFont="1" applyAlignment="1">
      <alignment horizontal="justify" vertical="top" wrapText="1"/>
    </xf>
    <xf numFmtId="0" fontId="18" fillId="0" borderId="0" xfId="0" applyFont="1"/>
    <xf numFmtId="0" fontId="19" fillId="0" borderId="0" xfId="0" applyFont="1"/>
    <xf numFmtId="0" fontId="2" fillId="5" borderId="0" xfId="0" applyFont="1" applyFill="1"/>
    <xf numFmtId="0" fontId="11" fillId="2" borderId="1" xfId="0" applyFont="1" applyFill="1" applyBorder="1" applyAlignment="1">
      <alignment horizontal="center" wrapText="1"/>
    </xf>
    <xf numFmtId="164" fontId="12" fillId="2" borderId="1" xfId="0" applyNumberFormat="1" applyFont="1" applyFill="1" applyBorder="1" applyAlignment="1">
      <alignment horizontal="center"/>
    </xf>
    <xf numFmtId="0" fontId="2" fillId="0" borderId="0" xfId="0" applyFont="1" applyAlignment="1">
      <alignment horizontal="center"/>
    </xf>
    <xf numFmtId="49" fontId="12" fillId="2" borderId="1" xfId="0" applyNumberFormat="1" applyFont="1" applyFill="1" applyBorder="1" applyAlignment="1">
      <alignment horizontal="center"/>
    </xf>
    <xf numFmtId="165" fontId="13" fillId="2" borderId="1" xfId="0" applyNumberFormat="1" applyFont="1" applyFill="1" applyBorder="1" applyAlignment="1">
      <alignment horizontal="center"/>
    </xf>
    <xf numFmtId="165" fontId="14" fillId="2" borderId="1" xfId="0" applyNumberFormat="1" applyFont="1" applyFill="1" applyBorder="1" applyAlignment="1">
      <alignment horizontal="center"/>
    </xf>
    <xf numFmtId="166" fontId="13" fillId="2" borderId="1" xfId="0" applyNumberFormat="1" applyFont="1" applyFill="1" applyBorder="1" applyAlignment="1">
      <alignment horizontal="center"/>
    </xf>
    <xf numFmtId="166" fontId="14" fillId="2" borderId="1" xfId="0" applyNumberFormat="1" applyFont="1" applyFill="1" applyBorder="1" applyAlignment="1">
      <alignment horizontal="center"/>
    </xf>
    <xf numFmtId="0" fontId="22" fillId="0" borderId="0" xfId="0" applyFont="1"/>
    <xf numFmtId="171" fontId="12" fillId="2" borderId="1" xfId="0" applyNumberFormat="1" applyFont="1" applyFill="1" applyBorder="1" applyAlignment="1">
      <alignment horizontal="center"/>
    </xf>
    <xf numFmtId="171" fontId="2" fillId="3" borderId="0" xfId="0" applyNumberFormat="1" applyFont="1" applyFill="1"/>
    <xf numFmtId="0" fontId="3" fillId="4" borderId="12" xfId="0" applyFont="1" applyFill="1" applyBorder="1" applyAlignment="1">
      <alignment horizontal="center" vertical="center"/>
    </xf>
    <xf numFmtId="0" fontId="6" fillId="0" borderId="0" xfId="0" applyFont="1" applyAlignment="1">
      <alignment horizontal="center"/>
    </xf>
    <xf numFmtId="166" fontId="8" fillId="0" borderId="0" xfId="0" applyNumberFormat="1" applyFont="1" applyAlignment="1">
      <alignment horizontal="center"/>
    </xf>
    <xf numFmtId="0" fontId="23" fillId="0" borderId="0" xfId="0" applyFont="1"/>
    <xf numFmtId="0" fontId="2" fillId="6" borderId="0" xfId="0" applyFont="1" applyFill="1"/>
    <xf numFmtId="0" fontId="6" fillId="6" borderId="0" xfId="0" applyFont="1" applyFill="1"/>
    <xf numFmtId="0" fontId="6" fillId="4" borderId="2" xfId="0" applyFont="1" applyFill="1" applyBorder="1" applyAlignment="1">
      <alignment horizontal="center" vertical="center" wrapText="1"/>
    </xf>
    <xf numFmtId="0" fontId="6" fillId="6" borderId="11" xfId="0" applyFont="1" applyFill="1" applyBorder="1"/>
    <xf numFmtId="0" fontId="2" fillId="6" borderId="12" xfId="0" applyFont="1" applyFill="1" applyBorder="1"/>
    <xf numFmtId="0" fontId="2" fillId="6" borderId="13" xfId="0" applyFont="1" applyFill="1" applyBorder="1"/>
    <xf numFmtId="0" fontId="6" fillId="4" borderId="2" xfId="0" applyFont="1" applyFill="1" applyBorder="1" applyAlignment="1">
      <alignment horizontal="center"/>
    </xf>
    <xf numFmtId="0" fontId="17" fillId="6" borderId="0" xfId="0" applyFont="1" applyFill="1"/>
    <xf numFmtId="0" fontId="6" fillId="7" borderId="0" xfId="0" applyFont="1" applyFill="1"/>
    <xf numFmtId="0" fontId="17" fillId="7" borderId="0" xfId="0" applyFont="1" applyFill="1"/>
    <xf numFmtId="0" fontId="24" fillId="0" borderId="0" xfId="0" applyFont="1"/>
    <xf numFmtId="4" fontId="2" fillId="0" borderId="0" xfId="0" applyNumberFormat="1" applyFont="1"/>
    <xf numFmtId="0" fontId="1" fillId="4" borderId="1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26" fillId="0" borderId="0" xfId="0" applyFont="1"/>
    <xf numFmtId="0" fontId="28" fillId="0" borderId="0" xfId="0" applyFont="1"/>
    <xf numFmtId="0" fontId="17" fillId="0" borderId="0" xfId="0" applyFont="1" applyAlignment="1">
      <alignment horizontal="justify" vertical="top" wrapText="1"/>
    </xf>
    <xf numFmtId="0" fontId="2" fillId="0" borderId="0" xfId="0" applyFont="1" applyAlignment="1">
      <alignment horizontal="justify" vertical="top" wrapText="1"/>
    </xf>
    <xf numFmtId="0" fontId="2" fillId="0" borderId="0" xfId="0" applyFont="1" applyAlignment="1">
      <alignment wrapText="1"/>
    </xf>
    <xf numFmtId="0" fontId="6" fillId="0" borderId="0" xfId="0" applyFont="1" applyAlignment="1">
      <alignment horizontal="justify" wrapText="1"/>
    </xf>
    <xf numFmtId="0" fontId="16" fillId="0" borderId="0" xfId="0" applyFont="1" applyAlignment="1">
      <alignment wrapText="1"/>
    </xf>
    <xf numFmtId="0" fontId="16" fillId="0" borderId="0" xfId="0" applyFont="1" applyAlignment="1">
      <alignment horizontal="justify" wrapText="1"/>
    </xf>
    <xf numFmtId="0" fontId="3"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30" fillId="0" borderId="0" xfId="0" applyFont="1" applyAlignment="1">
      <alignment horizontal="justify" wrapText="1"/>
    </xf>
    <xf numFmtId="0" fontId="2" fillId="0" borderId="0" xfId="0" applyFont="1" applyAlignment="1">
      <alignment horizontal="justify" wrapText="1"/>
    </xf>
    <xf numFmtId="0" fontId="10" fillId="0" borderId="0" xfId="0" applyFont="1" applyAlignment="1">
      <alignment horizontal="justify" wrapText="1"/>
    </xf>
    <xf numFmtId="0" fontId="2" fillId="5" borderId="0" xfId="0" applyFont="1" applyFill="1" applyAlignment="1">
      <alignment horizontal="justify" vertical="top" wrapText="1"/>
    </xf>
    <xf numFmtId="0" fontId="15" fillId="0" borderId="0" xfId="0" applyFont="1" applyAlignment="1">
      <alignment horizontal="justify" vertical="top" wrapText="1"/>
    </xf>
    <xf numFmtId="0" fontId="20" fillId="0" borderId="0" xfId="0" applyFont="1" applyAlignment="1">
      <alignment horizontal="justify" vertical="top" wrapText="1"/>
    </xf>
    <xf numFmtId="0" fontId="21" fillId="0" borderId="6" xfId="0" applyFont="1" applyBorder="1" applyAlignment="1">
      <alignment horizont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11" xfId="0" applyFont="1" applyFill="1" applyBorder="1" applyAlignment="1">
      <alignment horizontal="left" vertical="center"/>
    </xf>
    <xf numFmtId="0" fontId="3" fillId="4" borderId="12" xfId="0" applyFont="1" applyFill="1" applyBorder="1" applyAlignment="1">
      <alignment horizontal="left" vertical="center"/>
    </xf>
    <xf numFmtId="0" fontId="3" fillId="4" borderId="13" xfId="0" applyFont="1" applyFill="1" applyBorder="1" applyAlignment="1">
      <alignment horizontal="left" vertical="center"/>
    </xf>
    <xf numFmtId="0" fontId="3" fillId="4" borderId="11"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13" xfId="0" applyFont="1" applyFill="1" applyBorder="1" applyAlignment="1">
      <alignment horizontal="center" vertical="center"/>
    </xf>
    <xf numFmtId="0" fontId="23" fillId="0" borderId="6" xfId="0" applyFont="1" applyBorder="1" applyAlignment="1">
      <alignment horizontal="center"/>
    </xf>
    <xf numFmtId="0" fontId="7" fillId="0" borderId="0" xfId="0" applyFont="1" applyAlignment="1">
      <alignment horizontal="justify" vertical="top" wrapText="1"/>
    </xf>
    <xf numFmtId="0" fontId="6" fillId="6" borderId="0" xfId="0" applyFont="1" applyFill="1"/>
    <xf numFmtId="0" fontId="25" fillId="0" borderId="0" xfId="0" applyFont="1" applyAlignment="1">
      <alignment vertical="top" wrapText="1"/>
    </xf>
    <xf numFmtId="0" fontId="0" fillId="0" borderId="0" xfId="0" applyAlignment="1">
      <alignment horizontal="justify" wrapText="1"/>
    </xf>
    <xf numFmtId="0" fontId="0" fillId="0" borderId="0" xfId="0" applyAlignment="1">
      <alignment horizontal="justify" vertical="top" wrapText="1"/>
    </xf>
    <xf numFmtId="0" fontId="27" fillId="0" borderId="0" xfId="0" applyFont="1" applyAlignment="1">
      <alignment horizontal="justify" vertical="top" wrapText="1"/>
    </xf>
    <xf numFmtId="0" fontId="27" fillId="0" borderId="0" xfId="0" applyFont="1" applyAlignment="1">
      <alignment horizontal="justify" wrapText="1"/>
    </xf>
    <xf numFmtId="0" fontId="29" fillId="0" borderId="0" xfId="0" applyFont="1" applyAlignment="1">
      <alignment horizontal="justify"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A9D18E"/>
      <rgbColor rgb="FFFFFF99"/>
      <rgbColor rgb="FF9DC3E6"/>
      <rgbColor rgb="FFFF99CC"/>
      <rgbColor rgb="FFCC99FF"/>
      <rgbColor rgb="FFFFCC99"/>
      <rgbColor rgb="FF3366FF"/>
      <rgbColor rgb="FF33CCCC"/>
      <rgbColor rgb="FF99CC00"/>
      <rgbColor rgb="FFFFCC00"/>
      <rgbColor rgb="FFFF9900"/>
      <rgbColor rgb="FFFF6600"/>
      <rgbColor rgb="FF595959"/>
      <rgbColor rgb="FFB3B3B3"/>
      <rgbColor rgb="FF003366"/>
      <rgbColor rgb="FF339966"/>
      <rgbColor rgb="FF003300"/>
      <rgbColor rgb="FF333300"/>
      <rgbColor rgb="FF993300"/>
      <rgbColor rgb="FF993366"/>
      <rgbColor rgb="FF1F4E78"/>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DSCR Profile : Case A vs Case B (Years 5-30)</a:t>
            </a:r>
          </a:p>
        </c:rich>
      </c:tx>
      <c:overlay val="0"/>
      <c:spPr>
        <a:noFill/>
        <a:ln w="0">
          <a:noFill/>
        </a:ln>
      </c:spPr>
    </c:title>
    <c:autoTitleDeleted val="0"/>
    <c:plotArea>
      <c:layout/>
      <c:lineChart>
        <c:grouping val="standard"/>
        <c:varyColors val="0"/>
        <c:ser>
          <c:idx val="0"/>
          <c:order val="0"/>
          <c:tx>
            <c:v>Case A (no AP)</c:v>
          </c:tx>
          <c:spPr>
            <a:ln w="20160">
              <a:solidFill>
                <a:srgbClr val="C000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Model!$H$3:$AG$3</c:f>
              <c:numCache>
                <c:formatCode>General</c:formatCode>
                <c:ptCount val="26"/>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pt idx="19">
                  <c:v>24</c:v>
                </c:pt>
                <c:pt idx="20">
                  <c:v>25</c:v>
                </c:pt>
                <c:pt idx="21">
                  <c:v>26</c:v>
                </c:pt>
                <c:pt idx="22">
                  <c:v>27</c:v>
                </c:pt>
                <c:pt idx="23">
                  <c:v>28</c:v>
                </c:pt>
                <c:pt idx="24">
                  <c:v>29</c:v>
                </c:pt>
                <c:pt idx="25">
                  <c:v>30</c:v>
                </c:pt>
              </c:numCache>
            </c:numRef>
          </c:cat>
          <c:val>
            <c:numRef>
              <c:f>Model!$H$56:$AG$56</c:f>
              <c:numCache>
                <c:formatCode>0.00\x</c:formatCode>
                <c:ptCount val="26"/>
                <c:pt idx="0">
                  <c:v>-1.0731361947329492</c:v>
                </c:pt>
                <c:pt idx="1">
                  <c:v>-0.51928057566965402</c:v>
                </c:pt>
                <c:pt idx="2">
                  <c:v>-0.22662456545027121</c:v>
                </c:pt>
                <c:pt idx="3">
                  <c:v>-5.2103358128850225E-2</c:v>
                </c:pt>
                <c:pt idx="4">
                  <c:v>4.3005765080344698E-2</c:v>
                </c:pt>
                <c:pt idx="5">
                  <c:v>0.14290290904882749</c:v>
                </c:pt>
                <c:pt idx="6">
                  <c:v>0.17183287031935673</c:v>
                </c:pt>
                <c:pt idx="7">
                  <c:v>0.20212001533525853</c:v>
                </c:pt>
                <c:pt idx="8">
                  <c:v>0.22819363548851776</c:v>
                </c:pt>
                <c:pt idx="9">
                  <c:v>0.23389847637573041</c:v>
                </c:pt>
                <c:pt idx="10">
                  <c:v>0.2397459382851245</c:v>
                </c:pt>
                <c:pt idx="11">
                  <c:v>0.24573958674225149</c:v>
                </c:pt>
                <c:pt idx="12">
                  <c:v>0.25188307641080765</c:v>
                </c:pt>
                <c:pt idx="13">
                  <c:v>0.25818015332107763</c:v>
                </c:pt>
                <c:pt idx="14">
                  <c:v>0.2646346571541065</c:v>
                </c:pt>
                <c:pt idx="15">
                  <c:v>0.27125052358295632</c:v>
                </c:pt>
                <c:pt idx="16">
                  <c:v>0.2780317866725312</c:v>
                </c:pt>
                <c:pt idx="17">
                  <c:v>0.28498258133934523</c:v>
                </c:pt>
                <c:pt idx="18">
                  <c:v>0.29210714587282871</c:v>
                </c:pt>
                <c:pt idx="19">
                  <c:v>0.29940982451964937</c:v>
                </c:pt>
                <c:pt idx="20">
                  <c:v>0.29490656180197511</c:v>
                </c:pt>
                <c:pt idx="21">
                  <c:v>0.28303081828005561</c:v>
                </c:pt>
                <c:pt idx="22">
                  <c:v>0</c:v>
                </c:pt>
                <c:pt idx="23">
                  <c:v>0</c:v>
                </c:pt>
                <c:pt idx="24">
                  <c:v>0</c:v>
                </c:pt>
                <c:pt idx="25">
                  <c:v>0</c:v>
                </c:pt>
              </c:numCache>
            </c:numRef>
          </c:val>
          <c:smooth val="0"/>
          <c:extLst>
            <c:ext xmlns:c16="http://schemas.microsoft.com/office/drawing/2014/chart" uri="{C3380CC4-5D6E-409C-BE32-E72D297353CC}">
              <c16:uniqueId val="{00000000-4912-4CB0-A7DA-ED3B1163E221}"/>
            </c:ext>
          </c:extLst>
        </c:ser>
        <c:ser>
          <c:idx val="1"/>
          <c:order val="1"/>
          <c:tx>
            <c:v>Case B (with AP)</c:v>
          </c:tx>
          <c:spPr>
            <a:ln w="20160">
              <a:solidFill>
                <a:srgbClr val="375623"/>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Model!$H$3:$AG$3</c:f>
              <c:numCache>
                <c:formatCode>General</c:formatCode>
                <c:ptCount val="26"/>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pt idx="19">
                  <c:v>24</c:v>
                </c:pt>
                <c:pt idx="20">
                  <c:v>25</c:v>
                </c:pt>
                <c:pt idx="21">
                  <c:v>26</c:v>
                </c:pt>
                <c:pt idx="22">
                  <c:v>27</c:v>
                </c:pt>
                <c:pt idx="23">
                  <c:v>28</c:v>
                </c:pt>
                <c:pt idx="24">
                  <c:v>29</c:v>
                </c:pt>
                <c:pt idx="25">
                  <c:v>30</c:v>
                </c:pt>
              </c:numCache>
            </c:numRef>
          </c:cat>
          <c:val>
            <c:numRef>
              <c:f>Model!$H$66:$AG$66</c:f>
              <c:numCache>
                <c:formatCode>0.00\x</c:formatCode>
                <c:ptCount val="26"/>
                <c:pt idx="0">
                  <c:v>1.8653449934661113</c:v>
                </c:pt>
                <c:pt idx="1">
                  <c:v>1.8455467542502735</c:v>
                </c:pt>
                <c:pt idx="2">
                  <c:v>1.8032809467026072</c:v>
                </c:pt>
                <c:pt idx="3">
                  <c:v>1.7709042901916778</c:v>
                </c:pt>
                <c:pt idx="4">
                  <c:v>1.7448233745030284</c:v>
                </c:pt>
                <c:pt idx="5">
                  <c:v>1.7229426633329159</c:v>
                </c:pt>
                <c:pt idx="6">
                  <c:v>1.703956098211133</c:v>
                </c:pt>
                <c:pt idx="7">
                  <c:v>1.6869975565819941</c:v>
                </c:pt>
                <c:pt idx="8">
                  <c:v>1.6714611822005545</c:v>
                </c:pt>
                <c:pt idx="9">
                  <c:v>1.6569041886275964</c:v>
                </c:pt>
                <c:pt idx="10">
                  <c:v>1.6429911238805814</c:v>
                </c:pt>
                <c:pt idx="11">
                  <c:v>1.6294599375101195</c:v>
                </c:pt>
                <c:pt idx="12">
                  <c:v>1.6161001406729665</c:v>
                </c:pt>
                <c:pt idx="13">
                  <c:v>1.6027380692844846</c:v>
                </c:pt>
                <c:pt idx="14">
                  <c:v>1.5892265570017878</c:v>
                </c:pt>
                <c:pt idx="15">
                  <c:v>1.5754374819164809</c:v>
                </c:pt>
                <c:pt idx="16">
                  <c:v>1.5612562601639244</c:v>
                </c:pt>
                <c:pt idx="17">
                  <c:v>1.5465776975503436</c:v>
                </c:pt>
                <c:pt idx="18">
                  <c:v>1.5313028082660807</c:v>
                </c:pt>
                <c:pt idx="19">
                  <c:v>1.515336332036278</c:v>
                </c:pt>
                <c:pt idx="20">
                  <c:v>1.5075761414164985</c:v>
                </c:pt>
                <c:pt idx="21">
                  <c:v>1.5046072055360185</c:v>
                </c:pt>
                <c:pt idx="22">
                  <c:v>0</c:v>
                </c:pt>
                <c:pt idx="23">
                  <c:v>0</c:v>
                </c:pt>
                <c:pt idx="24">
                  <c:v>0</c:v>
                </c:pt>
                <c:pt idx="25">
                  <c:v>0</c:v>
                </c:pt>
              </c:numCache>
            </c:numRef>
          </c:val>
          <c:smooth val="0"/>
          <c:extLst>
            <c:ext xmlns:c16="http://schemas.microsoft.com/office/drawing/2014/chart" uri="{C3380CC4-5D6E-409C-BE32-E72D297353CC}">
              <c16:uniqueId val="{00000001-4912-4CB0-A7DA-ED3B1163E221}"/>
            </c:ext>
          </c:extLst>
        </c:ser>
        <c:dLbls>
          <c:showLegendKey val="0"/>
          <c:showVal val="0"/>
          <c:showCatName val="0"/>
          <c:showSerName val="0"/>
          <c:showPercent val="0"/>
          <c:showBubbleSize val="0"/>
        </c:dLbls>
        <c:hiLowLines>
          <c:spPr>
            <a:ln w="0">
              <a:noFill/>
            </a:ln>
          </c:spPr>
        </c:hiLowLines>
        <c:smooth val="0"/>
        <c:axId val="51908618"/>
        <c:axId val="95157242"/>
      </c:lineChart>
      <c:catAx>
        <c:axId val="51908618"/>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Concession Year</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5157242"/>
        <c:crosses val="autoZero"/>
        <c:auto val="1"/>
        <c:lblAlgn val="ctr"/>
        <c:lblOffset val="100"/>
        <c:noMultiLvlLbl val="0"/>
      </c:catAx>
      <c:valAx>
        <c:axId val="95157242"/>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DSCR (x)</a:t>
                </a:r>
              </a:p>
            </c:rich>
          </c:tx>
          <c:overlay val="0"/>
          <c:spPr>
            <a:noFill/>
            <a:ln w="0">
              <a:noFill/>
            </a:ln>
          </c:spPr>
        </c:title>
        <c:numFmt formatCode="0.00\x"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190861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42334</xdr:colOff>
      <xdr:row>17</xdr:row>
      <xdr:rowOff>28223</xdr:rowOff>
    </xdr:from>
    <xdr:to>
      <xdr:col>7</xdr:col>
      <xdr:colOff>1178278</xdr:colOff>
      <xdr:row>29</xdr:row>
      <xdr:rowOff>155221</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8"/>
  <sheetViews>
    <sheetView showGridLines="0" tabSelected="1" view="pageBreakPreview" zoomScaleNormal="100" zoomScaleSheetLayoutView="100" workbookViewId="0">
      <selection activeCell="A13" sqref="A13"/>
    </sheetView>
  </sheetViews>
  <sheetFormatPr defaultColWidth="8.6328125" defaultRowHeight="17.5" x14ac:dyDescent="0.35"/>
  <cols>
    <col min="1" max="1" width="110" style="10" customWidth="1"/>
    <col min="2" max="16384" width="8.6328125" style="9"/>
  </cols>
  <sheetData>
    <row r="1" spans="1:1" ht="14" x14ac:dyDescent="0.3">
      <c r="A1" s="72" t="s">
        <v>0</v>
      </c>
    </row>
    <row r="2" spans="1:1" ht="17.25" customHeight="1" thickBot="1" x14ac:dyDescent="0.35">
      <c r="A2" s="73"/>
    </row>
    <row r="4" spans="1:1" ht="15" customHeight="1" x14ac:dyDescent="0.3">
      <c r="A4" s="74" t="s">
        <v>262</v>
      </c>
    </row>
    <row r="5" spans="1:1" ht="15" customHeight="1" x14ac:dyDescent="0.3">
      <c r="A5" s="74"/>
    </row>
    <row r="6" spans="1:1" ht="15" customHeight="1" x14ac:dyDescent="0.3">
      <c r="A6" s="11"/>
    </row>
    <row r="7" spans="1:1" ht="15" customHeight="1" x14ac:dyDescent="0.3">
      <c r="A7" s="13" t="s">
        <v>263</v>
      </c>
    </row>
    <row r="8" spans="1:1" ht="15" customHeight="1" x14ac:dyDescent="0.3">
      <c r="A8" s="13" t="s">
        <v>264</v>
      </c>
    </row>
    <row r="9" spans="1:1" ht="15" customHeight="1" x14ac:dyDescent="0.3">
      <c r="A9" s="67" t="s">
        <v>265</v>
      </c>
    </row>
    <row r="10" spans="1:1" ht="15" customHeight="1" x14ac:dyDescent="0.3">
      <c r="A10" s="67"/>
    </row>
    <row r="11" spans="1:1" ht="15" customHeight="1" x14ac:dyDescent="0.3">
      <c r="A11" s="67"/>
    </row>
    <row r="12" spans="1:1" ht="15" customHeight="1" x14ac:dyDescent="0.3">
      <c r="A12" s="67"/>
    </row>
    <row r="13" spans="1:1" ht="15" customHeight="1" x14ac:dyDescent="0.3">
      <c r="A13" s="13" t="s">
        <v>266</v>
      </c>
    </row>
    <row r="14" spans="1:1" ht="15" customHeight="1" x14ac:dyDescent="0.3">
      <c r="A14" s="75" t="s">
        <v>267</v>
      </c>
    </row>
    <row r="15" spans="1:1" ht="15" customHeight="1" x14ac:dyDescent="0.3">
      <c r="A15" s="75"/>
    </row>
    <row r="16" spans="1:1" ht="15" customHeight="1" x14ac:dyDescent="0.3">
      <c r="A16" s="75"/>
    </row>
    <row r="17" spans="1:1" ht="15" customHeight="1" x14ac:dyDescent="0.3">
      <c r="A17" s="75"/>
    </row>
    <row r="18" spans="1:1" ht="15" customHeight="1" x14ac:dyDescent="0.3">
      <c r="A18" s="9"/>
    </row>
    <row r="19" spans="1:1" ht="15" customHeight="1" x14ac:dyDescent="0.3">
      <c r="A19" s="9"/>
    </row>
    <row r="20" spans="1:1" ht="15" customHeight="1" x14ac:dyDescent="0.3">
      <c r="A20" s="13" t="s">
        <v>268</v>
      </c>
    </row>
    <row r="21" spans="1:1" ht="15" customHeight="1" x14ac:dyDescent="0.3">
      <c r="A21" s="75" t="s">
        <v>270</v>
      </c>
    </row>
    <row r="22" spans="1:1" ht="15" customHeight="1" x14ac:dyDescent="0.3">
      <c r="A22" s="75"/>
    </row>
    <row r="23" spans="1:1" ht="15" customHeight="1" x14ac:dyDescent="0.3">
      <c r="A23" s="9" t="s">
        <v>269</v>
      </c>
    </row>
    <row r="24" spans="1:1" ht="15" customHeight="1" x14ac:dyDescent="0.3">
      <c r="A24" s="9"/>
    </row>
    <row r="25" spans="1:1" ht="15" customHeight="1" x14ac:dyDescent="0.3">
      <c r="A25" s="76" t="s">
        <v>271</v>
      </c>
    </row>
    <row r="26" spans="1:1" ht="15" customHeight="1" x14ac:dyDescent="0.3">
      <c r="A26" s="76"/>
    </row>
    <row r="27" spans="1:1" ht="15" customHeight="1" x14ac:dyDescent="0.3">
      <c r="A27" s="76"/>
    </row>
    <row r="28" spans="1:1" ht="15" customHeight="1" x14ac:dyDescent="0.3">
      <c r="A28" s="9"/>
    </row>
    <row r="29" spans="1:1" ht="15" customHeight="1" x14ac:dyDescent="0.3">
      <c r="A29" s="13" t="s">
        <v>273</v>
      </c>
    </row>
    <row r="30" spans="1:1" ht="15" customHeight="1" x14ac:dyDescent="0.3">
      <c r="A30" s="67" t="s">
        <v>272</v>
      </c>
    </row>
    <row r="31" spans="1:1" ht="15" customHeight="1" x14ac:dyDescent="0.3">
      <c r="A31" s="67"/>
    </row>
    <row r="32" spans="1:1" ht="15" customHeight="1" x14ac:dyDescent="0.3">
      <c r="A32" s="67"/>
    </row>
    <row r="33" spans="1:1" ht="15" customHeight="1" x14ac:dyDescent="0.3">
      <c r="A33" s="67"/>
    </row>
    <row r="34" spans="1:1" ht="15" customHeight="1" x14ac:dyDescent="0.3">
      <c r="A34" s="67"/>
    </row>
    <row r="35" spans="1:1" ht="15" customHeight="1" x14ac:dyDescent="0.3">
      <c r="A35" s="11"/>
    </row>
    <row r="36" spans="1:1" ht="15" customHeight="1" x14ac:dyDescent="0.3">
      <c r="A36" s="13" t="s">
        <v>274</v>
      </c>
    </row>
    <row r="37" spans="1:1" ht="15" customHeight="1" x14ac:dyDescent="0.3">
      <c r="A37" s="9" t="s">
        <v>275</v>
      </c>
    </row>
    <row r="38" spans="1:1" ht="15" customHeight="1" x14ac:dyDescent="0.3">
      <c r="A38" s="68" t="s">
        <v>276</v>
      </c>
    </row>
    <row r="39" spans="1:1" ht="15" customHeight="1" x14ac:dyDescent="0.3">
      <c r="A39" s="68"/>
    </row>
    <row r="40" spans="1:1" ht="15" customHeight="1" x14ac:dyDescent="0.3">
      <c r="A40" s="69" t="s">
        <v>277</v>
      </c>
    </row>
    <row r="41" spans="1:1" ht="15" customHeight="1" x14ac:dyDescent="0.3">
      <c r="A41" s="69"/>
    </row>
    <row r="42" spans="1:1" ht="15" customHeight="1" x14ac:dyDescent="0.3">
      <c r="A42" s="69"/>
    </row>
    <row r="43" spans="1:1" ht="15" customHeight="1" x14ac:dyDescent="0.3">
      <c r="A43" s="69"/>
    </row>
    <row r="44" spans="1:1" ht="15" customHeight="1" x14ac:dyDescent="0.3">
      <c r="A44" s="9"/>
    </row>
    <row r="45" spans="1:1" ht="15" customHeight="1" x14ac:dyDescent="0.3">
      <c r="A45" s="13" t="s">
        <v>1</v>
      </c>
    </row>
    <row r="46" spans="1:1" ht="15" customHeight="1" x14ac:dyDescent="0.3">
      <c r="A46" s="70" t="s">
        <v>278</v>
      </c>
    </row>
    <row r="47" spans="1:1" ht="15" customHeight="1" x14ac:dyDescent="0.3">
      <c r="A47" s="70"/>
    </row>
    <row r="48" spans="1:1" ht="15" customHeight="1" x14ac:dyDescent="0.3">
      <c r="A48" s="70"/>
    </row>
    <row r="49" spans="1:1" ht="15" customHeight="1" x14ac:dyDescent="0.3">
      <c r="A49" s="9"/>
    </row>
    <row r="50" spans="1:1" ht="15" customHeight="1" x14ac:dyDescent="0.3">
      <c r="A50" s="13" t="s">
        <v>279</v>
      </c>
    </row>
    <row r="51" spans="1:1" ht="15" customHeight="1" x14ac:dyDescent="0.3">
      <c r="A51" s="71" t="s">
        <v>280</v>
      </c>
    </row>
    <row r="52" spans="1:1" ht="15" customHeight="1" x14ac:dyDescent="0.3">
      <c r="A52" s="71"/>
    </row>
    <row r="53" spans="1:1" ht="15" customHeight="1" x14ac:dyDescent="0.3">
      <c r="A53" s="71"/>
    </row>
    <row r="54" spans="1:1" ht="15" customHeight="1" x14ac:dyDescent="0.3">
      <c r="A54" s="71"/>
    </row>
    <row r="55" spans="1:1" ht="15" customHeight="1" x14ac:dyDescent="0.3">
      <c r="A55" s="71"/>
    </row>
    <row r="56" spans="1:1" ht="15" customHeight="1" x14ac:dyDescent="0.3">
      <c r="A56" s="9"/>
    </row>
    <row r="57" spans="1:1" ht="15" customHeight="1" x14ac:dyDescent="0.3">
      <c r="A57" s="11"/>
    </row>
    <row r="58" spans="1:1" ht="15" customHeight="1" x14ac:dyDescent="0.3">
      <c r="A58" s="13" t="s">
        <v>2</v>
      </c>
    </row>
    <row r="59" spans="1:1" ht="15" customHeight="1" x14ac:dyDescent="0.3">
      <c r="A59" s="66" t="s">
        <v>281</v>
      </c>
    </row>
    <row r="60" spans="1:1" ht="15" customHeight="1" x14ac:dyDescent="0.3">
      <c r="A60" s="66"/>
    </row>
    <row r="61" spans="1:1" ht="15" customHeight="1" x14ac:dyDescent="0.3">
      <c r="A61" s="66"/>
    </row>
    <row r="62" spans="1:1" ht="15" customHeight="1" x14ac:dyDescent="0.3">
      <c r="A62" s="66"/>
    </row>
    <row r="63" spans="1:1" ht="15" customHeight="1" x14ac:dyDescent="0.3">
      <c r="A63" s="9"/>
    </row>
    <row r="64" spans="1:1" ht="15" customHeight="1" x14ac:dyDescent="0.3">
      <c r="A64" s="13" t="s">
        <v>3</v>
      </c>
    </row>
    <row r="65" spans="1:1" ht="15" customHeight="1" x14ac:dyDescent="0.3">
      <c r="A65" s="9" t="s">
        <v>282</v>
      </c>
    </row>
    <row r="66" spans="1:1" ht="15" customHeight="1" x14ac:dyDescent="0.3">
      <c r="A66" s="9" t="s">
        <v>283</v>
      </c>
    </row>
    <row r="67" spans="1:1" ht="14" x14ac:dyDescent="0.3">
      <c r="A67" s="9" t="s">
        <v>284</v>
      </c>
    </row>
    <row r="68" spans="1:1" ht="15" customHeight="1" x14ac:dyDescent="0.3">
      <c r="A68" s="11"/>
    </row>
    <row r="69" spans="1:1" ht="15" customHeight="1" x14ac:dyDescent="0.3">
      <c r="A69" s="9"/>
    </row>
    <row r="70" spans="1:1" ht="15" customHeight="1" x14ac:dyDescent="0.3">
      <c r="A70" s="9"/>
    </row>
    <row r="71" spans="1:1" ht="15" customHeight="1" x14ac:dyDescent="0.3">
      <c r="A71" s="9"/>
    </row>
    <row r="72" spans="1:1" ht="15" customHeight="1" x14ac:dyDescent="0.3">
      <c r="A72" s="9"/>
    </row>
    <row r="73" spans="1:1" ht="15" customHeight="1" x14ac:dyDescent="0.3">
      <c r="A73" s="9"/>
    </row>
    <row r="74" spans="1:1" ht="15" customHeight="1" x14ac:dyDescent="0.3">
      <c r="A74" s="9"/>
    </row>
    <row r="75" spans="1:1" ht="15" customHeight="1" x14ac:dyDescent="0.3">
      <c r="A75" s="9"/>
    </row>
    <row r="76" spans="1:1" ht="15" customHeight="1" x14ac:dyDescent="0.3">
      <c r="A76" s="9"/>
    </row>
    <row r="77" spans="1:1" ht="15" customHeight="1" x14ac:dyDescent="0.3">
      <c r="A77" s="9"/>
    </row>
    <row r="78" spans="1:1" ht="15" customHeight="1" x14ac:dyDescent="0.3">
      <c r="A78" s="9"/>
    </row>
  </sheetData>
  <mergeCells count="12">
    <mergeCell ref="A25:A27"/>
    <mergeCell ref="A1:A2"/>
    <mergeCell ref="A4:A5"/>
    <mergeCell ref="A9:A12"/>
    <mergeCell ref="A14:A17"/>
    <mergeCell ref="A21:A22"/>
    <mergeCell ref="A59:A62"/>
    <mergeCell ref="A30:A34"/>
    <mergeCell ref="A38:A39"/>
    <mergeCell ref="A40:A43"/>
    <mergeCell ref="A46:A48"/>
    <mergeCell ref="A51:A55"/>
  </mergeCells>
  <pageMargins left="0.5" right="0.5" top="0.6" bottom="0.6" header="0.3" footer="0.3"/>
  <pageSetup paperSize="9" fitToHeight="0" orientation="portrait" horizontalDpi="300" verticalDpi="300" r:id="rId1"/>
  <headerFooter>
    <oddFooter>&amp;RPage &amp;P of &amp;N</oddFooter>
  </headerFooter>
  <rowBreaks count="1" manualBreakCount="1">
    <brk id="4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1"/>
  <sheetViews>
    <sheetView showGridLines="0" view="pageBreakPreview" zoomScale="90" zoomScaleNormal="100" zoomScaleSheetLayoutView="90" workbookViewId="0">
      <selection activeCell="A59" sqref="A59:F63"/>
    </sheetView>
  </sheetViews>
  <sheetFormatPr defaultColWidth="8.6328125" defaultRowHeight="14" x14ac:dyDescent="0.3"/>
  <cols>
    <col min="1" max="1" width="91.7265625" style="9" customWidth="1"/>
    <col min="2" max="16384" width="8.6328125" style="9"/>
  </cols>
  <sheetData>
    <row r="1" spans="1:1" ht="14.5" customHeight="1" x14ac:dyDescent="0.3">
      <c r="A1" s="72" t="s">
        <v>285</v>
      </c>
    </row>
    <row r="2" spans="1:1" ht="19.5" customHeight="1" thickBot="1" x14ac:dyDescent="0.35">
      <c r="A2" s="73"/>
    </row>
    <row r="3" spans="1:1" ht="15" customHeight="1" x14ac:dyDescent="0.3"/>
    <row r="4" spans="1:1" ht="15" customHeight="1" x14ac:dyDescent="0.3">
      <c r="A4" s="32" t="s">
        <v>4</v>
      </c>
    </row>
    <row r="5" spans="1:1" ht="15" customHeight="1" x14ac:dyDescent="0.3">
      <c r="A5" s="78" t="s">
        <v>286</v>
      </c>
    </row>
    <row r="6" spans="1:1" ht="22.5" customHeight="1" x14ac:dyDescent="0.3">
      <c r="A6" s="78"/>
    </row>
    <row r="7" spans="1:1" ht="16.5" customHeight="1" x14ac:dyDescent="0.3">
      <c r="A7" s="78"/>
    </row>
    <row r="8" spans="1:1" ht="15" customHeight="1" x14ac:dyDescent="0.3">
      <c r="A8" s="78"/>
    </row>
    <row r="9" spans="1:1" ht="15" customHeight="1" x14ac:dyDescent="0.3">
      <c r="A9" s="29"/>
    </row>
    <row r="10" spans="1:1" ht="15" customHeight="1" x14ac:dyDescent="0.3">
      <c r="A10" s="32" t="s">
        <v>5</v>
      </c>
    </row>
    <row r="11" spans="1:1" ht="15" customHeight="1" x14ac:dyDescent="0.3">
      <c r="A11" s="78" t="s">
        <v>287</v>
      </c>
    </row>
    <row r="12" spans="1:1" ht="15" customHeight="1" x14ac:dyDescent="0.3">
      <c r="A12" s="78"/>
    </row>
    <row r="13" spans="1:1" ht="21.5" customHeight="1" x14ac:dyDescent="0.3">
      <c r="A13" s="78"/>
    </row>
    <row r="14" spans="1:1" ht="15" customHeight="1" x14ac:dyDescent="0.3">
      <c r="A14" s="78"/>
    </row>
    <row r="15" spans="1:1" ht="15" customHeight="1" x14ac:dyDescent="0.3"/>
    <row r="16" spans="1:1" ht="15" customHeight="1" x14ac:dyDescent="0.3">
      <c r="A16" s="32" t="s">
        <v>6</v>
      </c>
    </row>
    <row r="17" spans="1:1" ht="15" customHeight="1" x14ac:dyDescent="0.3">
      <c r="A17" s="78" t="s">
        <v>290</v>
      </c>
    </row>
    <row r="18" spans="1:1" ht="15" customHeight="1" x14ac:dyDescent="0.3">
      <c r="A18" s="78"/>
    </row>
    <row r="19" spans="1:1" ht="15" customHeight="1" x14ac:dyDescent="0.3">
      <c r="A19" s="78"/>
    </row>
    <row r="20" spans="1:1" ht="15" customHeight="1" x14ac:dyDescent="0.3">
      <c r="A20" s="78"/>
    </row>
    <row r="21" spans="1:1" ht="15" customHeight="1" x14ac:dyDescent="0.3">
      <c r="A21" s="31" t="s">
        <v>291</v>
      </c>
    </row>
    <row r="22" spans="1:1" ht="15" customHeight="1" x14ac:dyDescent="0.3">
      <c r="A22" s="29" t="s">
        <v>289</v>
      </c>
    </row>
    <row r="23" spans="1:1" ht="15" customHeight="1" x14ac:dyDescent="0.3">
      <c r="A23" s="29" t="s">
        <v>288</v>
      </c>
    </row>
    <row r="24" spans="1:1" ht="15" customHeight="1" x14ac:dyDescent="0.3"/>
    <row r="25" spans="1:1" ht="15" customHeight="1" x14ac:dyDescent="0.3">
      <c r="A25" s="32" t="s">
        <v>7</v>
      </c>
    </row>
    <row r="26" spans="1:1" ht="15" customHeight="1" x14ac:dyDescent="0.3">
      <c r="A26" s="79" t="s">
        <v>293</v>
      </c>
    </row>
    <row r="27" spans="1:1" ht="15" customHeight="1" x14ac:dyDescent="0.3">
      <c r="A27" s="79"/>
    </row>
    <row r="28" spans="1:1" ht="15" customHeight="1" x14ac:dyDescent="0.3">
      <c r="A28" s="79"/>
    </row>
    <row r="29" spans="1:1" ht="15" customHeight="1" x14ac:dyDescent="0.3">
      <c r="A29" s="79"/>
    </row>
    <row r="30" spans="1:1" ht="15" customHeight="1" x14ac:dyDescent="0.3">
      <c r="A30" s="29" t="s">
        <v>294</v>
      </c>
    </row>
    <row r="31" spans="1:1" ht="15" customHeight="1" x14ac:dyDescent="0.3">
      <c r="A31" s="29" t="s">
        <v>295</v>
      </c>
    </row>
    <row r="32" spans="1:1" x14ac:dyDescent="0.3">
      <c r="A32" s="33" t="s">
        <v>292</v>
      </c>
    </row>
    <row r="33" spans="1:1" x14ac:dyDescent="0.3">
      <c r="A33" s="33"/>
    </row>
    <row r="34" spans="1:1" ht="15" customHeight="1" x14ac:dyDescent="0.3">
      <c r="A34" s="67" t="s">
        <v>296</v>
      </c>
    </row>
    <row r="35" spans="1:1" ht="15" customHeight="1" x14ac:dyDescent="0.3">
      <c r="A35" s="67"/>
    </row>
    <row r="36" spans="1:1" ht="15" customHeight="1" x14ac:dyDescent="0.3">
      <c r="A36" s="67"/>
    </row>
    <row r="37" spans="1:1" ht="15" customHeight="1" x14ac:dyDescent="0.3">
      <c r="A37" s="30"/>
    </row>
    <row r="38" spans="1:1" ht="15" customHeight="1" x14ac:dyDescent="0.3">
      <c r="A38" s="34" t="s">
        <v>297</v>
      </c>
    </row>
    <row r="39" spans="1:1" ht="15" customHeight="1" x14ac:dyDescent="0.3">
      <c r="A39" s="77" t="s">
        <v>298</v>
      </c>
    </row>
    <row r="40" spans="1:1" ht="15" customHeight="1" x14ac:dyDescent="0.3">
      <c r="A40" s="77"/>
    </row>
    <row r="41" spans="1:1" ht="15" customHeight="1" x14ac:dyDescent="0.3">
      <c r="A41" s="77"/>
    </row>
  </sheetData>
  <mergeCells count="7">
    <mergeCell ref="A34:A36"/>
    <mergeCell ref="A39:A41"/>
    <mergeCell ref="A1:A2"/>
    <mergeCell ref="A5:A8"/>
    <mergeCell ref="A11:A14"/>
    <mergeCell ref="A17:A20"/>
    <mergeCell ref="A26:A29"/>
  </mergeCells>
  <pageMargins left="0.7" right="0.7" top="0.75" bottom="0.75" header="0.3" footer="0.3"/>
  <pageSetup paperSize="9" fitToHeight="0" orientation="portrait" horizontalDpi="300" verticalDpi="300" r:id="rId1"/>
  <headerFooter>
    <oddFooter>&amp;RPage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7"/>
  <sheetViews>
    <sheetView showGridLines="0" view="pageBreakPreview" zoomScale="90" zoomScaleNormal="100" zoomScaleSheetLayoutView="90" workbookViewId="0">
      <selection activeCell="A59" sqref="A59:F63"/>
    </sheetView>
  </sheetViews>
  <sheetFormatPr defaultColWidth="8.6328125" defaultRowHeight="14" x14ac:dyDescent="0.3"/>
  <cols>
    <col min="1" max="1" width="2" style="9" customWidth="1"/>
    <col min="2" max="8" width="18" style="9" customWidth="1"/>
    <col min="9" max="9" width="48.7265625" style="9" customWidth="1"/>
    <col min="10" max="10" width="2" style="9" customWidth="1"/>
    <col min="11" max="16384" width="8.6328125" style="9"/>
  </cols>
  <sheetData>
    <row r="1" spans="1:8" ht="14.5" customHeight="1" x14ac:dyDescent="0.3">
      <c r="A1" s="81" t="s">
        <v>299</v>
      </c>
      <c r="B1" s="82"/>
      <c r="C1" s="82"/>
      <c r="D1" s="82"/>
      <c r="E1" s="82"/>
      <c r="F1" s="82"/>
      <c r="G1" s="82"/>
      <c r="H1" s="83"/>
    </row>
    <row r="2" spans="1:8" ht="19.5" customHeight="1" thickBot="1" x14ac:dyDescent="0.35">
      <c r="A2" s="84"/>
      <c r="B2" s="85"/>
      <c r="C2" s="85"/>
      <c r="D2" s="85"/>
      <c r="E2" s="85"/>
      <c r="F2" s="85"/>
      <c r="G2" s="85"/>
      <c r="H2" s="86"/>
    </row>
    <row r="3" spans="1:8" ht="15" customHeight="1" x14ac:dyDescent="0.3">
      <c r="A3" s="80" t="s">
        <v>300</v>
      </c>
      <c r="B3" s="80"/>
      <c r="C3" s="80"/>
      <c r="D3" s="80"/>
      <c r="E3" s="80"/>
      <c r="F3" s="80"/>
      <c r="G3" s="80"/>
      <c r="H3" s="80"/>
    </row>
    <row r="5" spans="1:8" ht="26" x14ac:dyDescent="0.3">
      <c r="B5" s="35" t="s">
        <v>8</v>
      </c>
      <c r="D5" s="35" t="s">
        <v>9</v>
      </c>
      <c r="F5" s="35" t="s">
        <v>301</v>
      </c>
      <c r="H5" s="35" t="s">
        <v>302</v>
      </c>
    </row>
    <row r="6" spans="1:8" ht="27.75" customHeight="1" x14ac:dyDescent="0.5">
      <c r="B6" s="36">
        <f>Summary!B4</f>
        <v>155</v>
      </c>
      <c r="C6" s="37"/>
      <c r="D6" s="38" t="str">
        <f>Summary!B5&amp;" / "&amp;Summary!B6</f>
        <v>108.5 / 46.5</v>
      </c>
      <c r="E6" s="37"/>
      <c r="F6" s="39">
        <f>Summary!B10</f>
        <v>-1.0731361947329492</v>
      </c>
      <c r="G6" s="37"/>
      <c r="H6" s="40">
        <f>Summary!C10</f>
        <v>1.5046072055360185</v>
      </c>
    </row>
    <row r="8" spans="1:8" ht="26" x14ac:dyDescent="0.3">
      <c r="B8" s="35" t="s">
        <v>305</v>
      </c>
      <c r="D8" s="35" t="s">
        <v>304</v>
      </c>
      <c r="F8" s="35" t="s">
        <v>10</v>
      </c>
      <c r="H8" s="35" t="s">
        <v>303</v>
      </c>
    </row>
    <row r="9" spans="1:8" ht="27.75" customHeight="1" x14ac:dyDescent="0.5">
      <c r="B9" s="41">
        <f>Summary!B12</f>
        <v>-0.12159604063372631</v>
      </c>
      <c r="C9" s="37"/>
      <c r="D9" s="42">
        <f>Summary!C12</f>
        <v>0.13503207570273013</v>
      </c>
      <c r="E9" s="37"/>
      <c r="F9" s="36">
        <f>Summary!B16</f>
        <v>20.277156412734339</v>
      </c>
      <c r="G9" s="37"/>
      <c r="H9" s="44">
        <f>Summary!C32</f>
        <v>30</v>
      </c>
    </row>
    <row r="11" spans="1:8" ht="15" customHeight="1" x14ac:dyDescent="0.3">
      <c r="B11" s="43" t="s">
        <v>11</v>
      </c>
    </row>
    <row r="12" spans="1:8" ht="15" customHeight="1" x14ac:dyDescent="0.3">
      <c r="B12" s="75" t="s">
        <v>306</v>
      </c>
      <c r="C12" s="75"/>
      <c r="D12" s="75"/>
      <c r="E12" s="75"/>
      <c r="F12" s="75"/>
      <c r="G12" s="75"/>
      <c r="H12" s="75"/>
    </row>
    <row r="13" spans="1:8" ht="15" customHeight="1" x14ac:dyDescent="0.3">
      <c r="B13" s="75"/>
      <c r="C13" s="75"/>
      <c r="D13" s="75"/>
      <c r="E13" s="75"/>
      <c r="F13" s="75"/>
      <c r="G13" s="75"/>
      <c r="H13" s="75"/>
    </row>
    <row r="14" spans="1:8" ht="15" customHeight="1" x14ac:dyDescent="0.3">
      <c r="B14" s="75" t="s">
        <v>307</v>
      </c>
      <c r="C14" s="75"/>
      <c r="D14" s="75"/>
      <c r="E14" s="75"/>
      <c r="F14" s="75"/>
      <c r="G14" s="75"/>
      <c r="H14" s="75"/>
    </row>
    <row r="15" spans="1:8" ht="15" customHeight="1" x14ac:dyDescent="0.3">
      <c r="B15" s="75"/>
      <c r="C15" s="75"/>
      <c r="D15" s="75"/>
      <c r="E15" s="75"/>
      <c r="F15" s="75"/>
      <c r="G15" s="75"/>
      <c r="H15" s="75"/>
    </row>
    <row r="17" spans="2:2" ht="15" customHeight="1" x14ac:dyDescent="0.3">
      <c r="B17" s="43" t="s">
        <v>12</v>
      </c>
    </row>
  </sheetData>
  <mergeCells count="4">
    <mergeCell ref="A3:H3"/>
    <mergeCell ref="B12:H13"/>
    <mergeCell ref="B14:H15"/>
    <mergeCell ref="A1:H2"/>
  </mergeCells>
  <pageMargins left="0.7" right="0.7" top="0.75" bottom="0.75" header="0.3" footer="0.3"/>
  <pageSetup paperSize="9" fitToHeight="0" orientation="landscape" horizontalDpi="300" verticalDpi="300" r:id="rId1"/>
  <headerFooter>
    <oddFooter>&amp;RPage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110"/>
  <sheetViews>
    <sheetView showGridLines="0" view="pageBreakPreview" zoomScale="90" zoomScaleNormal="100" zoomScaleSheetLayoutView="90" workbookViewId="0">
      <selection activeCell="A59" sqref="A59:F63"/>
    </sheetView>
  </sheetViews>
  <sheetFormatPr defaultColWidth="8.6328125" defaultRowHeight="14" x14ac:dyDescent="0.3"/>
  <cols>
    <col min="1" max="1" width="60.81640625" style="9" customWidth="1"/>
    <col min="2" max="2" width="14" style="9" customWidth="1"/>
    <col min="3" max="3" width="16.26953125" style="9" bestFit="1" customWidth="1"/>
    <col min="4" max="4" width="16.36328125" style="9" bestFit="1" customWidth="1"/>
    <col min="5" max="5" width="13.1796875" style="9" bestFit="1" customWidth="1"/>
    <col min="6" max="6" width="7.1796875" style="9" bestFit="1" customWidth="1"/>
    <col min="7" max="16384" width="8.6328125" style="9"/>
  </cols>
  <sheetData>
    <row r="1" spans="1:6" ht="17.25" customHeight="1" thickBot="1" x14ac:dyDescent="0.35">
      <c r="A1" s="90" t="s">
        <v>13</v>
      </c>
      <c r="B1" s="91"/>
      <c r="C1" s="91"/>
      <c r="D1" s="91"/>
      <c r="E1" s="91"/>
      <c r="F1" s="92"/>
    </row>
    <row r="2" spans="1:6" ht="14.5" thickBot="1" x14ac:dyDescent="0.35"/>
    <row r="3" spans="1:6" ht="15" customHeight="1" thickBot="1" x14ac:dyDescent="0.35">
      <c r="A3" s="87" t="s">
        <v>14</v>
      </c>
      <c r="B3" s="88"/>
      <c r="C3" s="88"/>
      <c r="D3" s="88"/>
      <c r="E3" s="88"/>
      <c r="F3" s="89"/>
    </row>
    <row r="5" spans="1:6" ht="15" customHeight="1" x14ac:dyDescent="0.3">
      <c r="A5" s="9" t="s">
        <v>15</v>
      </c>
      <c r="B5" s="23">
        <v>2026</v>
      </c>
    </row>
    <row r="6" spans="1:6" ht="15" customHeight="1" x14ac:dyDescent="0.3">
      <c r="A6" s="9" t="s">
        <v>16</v>
      </c>
      <c r="B6" s="23">
        <v>2027</v>
      </c>
    </row>
    <row r="7" spans="1:6" ht="15" customHeight="1" x14ac:dyDescent="0.3">
      <c r="A7" s="9" t="s">
        <v>17</v>
      </c>
      <c r="B7" s="23">
        <v>30</v>
      </c>
    </row>
    <row r="8" spans="1:6" ht="15" customHeight="1" x14ac:dyDescent="0.3">
      <c r="A8" s="9" t="s">
        <v>18</v>
      </c>
      <c r="B8" s="23">
        <v>4</v>
      </c>
    </row>
    <row r="9" spans="1:6" ht="15" customHeight="1" x14ac:dyDescent="0.3">
      <c r="A9" s="9" t="s">
        <v>19</v>
      </c>
      <c r="B9" s="23">
        <v>3</v>
      </c>
    </row>
    <row r="10" spans="1:6" ht="15" customHeight="1" x14ac:dyDescent="0.3">
      <c r="A10" s="9" t="s">
        <v>20</v>
      </c>
      <c r="B10" s="23">
        <v>4</v>
      </c>
    </row>
    <row r="11" spans="1:6" ht="14.5" thickBot="1" x14ac:dyDescent="0.35"/>
    <row r="12" spans="1:6" ht="15" customHeight="1" thickBot="1" x14ac:dyDescent="0.35">
      <c r="A12" s="87" t="s">
        <v>21</v>
      </c>
      <c r="B12" s="88"/>
      <c r="C12" s="88"/>
      <c r="D12" s="88"/>
      <c r="E12" s="88"/>
      <c r="F12" s="89"/>
    </row>
    <row r="14" spans="1:6" ht="15" customHeight="1" x14ac:dyDescent="0.3">
      <c r="A14" s="13" t="s">
        <v>22</v>
      </c>
      <c r="B14" s="13" t="s">
        <v>23</v>
      </c>
      <c r="C14" s="13" t="s">
        <v>24</v>
      </c>
      <c r="D14" s="13" t="s">
        <v>25</v>
      </c>
    </row>
    <row r="15" spans="1:6" ht="15" customHeight="1" x14ac:dyDescent="0.3">
      <c r="A15" s="9" t="s">
        <v>26</v>
      </c>
      <c r="B15" s="23">
        <v>1</v>
      </c>
      <c r="C15" s="23">
        <v>53</v>
      </c>
      <c r="D15" s="23">
        <v>12</v>
      </c>
    </row>
    <row r="16" spans="1:6" ht="15" customHeight="1" x14ac:dyDescent="0.3">
      <c r="A16" s="9" t="s">
        <v>27</v>
      </c>
      <c r="B16" s="23">
        <v>3</v>
      </c>
      <c r="C16" s="23">
        <v>16.7</v>
      </c>
      <c r="D16" s="23">
        <v>3.73</v>
      </c>
    </row>
    <row r="17" spans="1:6" ht="15" customHeight="1" x14ac:dyDescent="0.3">
      <c r="A17" s="9" t="s">
        <v>28</v>
      </c>
      <c r="B17" s="23">
        <v>4</v>
      </c>
      <c r="C17" s="23">
        <v>7.85</v>
      </c>
      <c r="D17" s="23">
        <v>1.84</v>
      </c>
    </row>
    <row r="18" spans="1:6" ht="15" customHeight="1" x14ac:dyDescent="0.3">
      <c r="A18" s="9" t="s">
        <v>29</v>
      </c>
      <c r="B18" s="25">
        <v>2.6</v>
      </c>
      <c r="C18" s="49" t="s">
        <v>30</v>
      </c>
    </row>
    <row r="19" spans="1:6" ht="14.5" thickBot="1" x14ac:dyDescent="0.35"/>
    <row r="20" spans="1:6" ht="15" customHeight="1" thickBot="1" x14ac:dyDescent="0.35">
      <c r="A20" s="87" t="s">
        <v>31</v>
      </c>
      <c r="B20" s="88"/>
      <c r="C20" s="88"/>
      <c r="D20" s="88"/>
      <c r="E20" s="88"/>
      <c r="F20" s="89"/>
    </row>
    <row r="22" spans="1:6" ht="15" customHeight="1" x14ac:dyDescent="0.3">
      <c r="A22" s="13" t="s">
        <v>32</v>
      </c>
      <c r="B22" s="13" t="s">
        <v>33</v>
      </c>
      <c r="C22" s="13" t="s">
        <v>34</v>
      </c>
      <c r="D22" s="13" t="s">
        <v>35</v>
      </c>
      <c r="E22" s="13" t="s">
        <v>36</v>
      </c>
    </row>
    <row r="23" spans="1:6" ht="15" customHeight="1" x14ac:dyDescent="0.3">
      <c r="A23" s="9" t="s">
        <v>37</v>
      </c>
      <c r="B23" s="24">
        <v>0.2</v>
      </c>
      <c r="C23" s="24">
        <v>0.4</v>
      </c>
      <c r="D23" s="24">
        <v>0.4</v>
      </c>
      <c r="E23" s="24">
        <v>0</v>
      </c>
    </row>
    <row r="24" spans="1:6" ht="15" customHeight="1" x14ac:dyDescent="0.3">
      <c r="A24" s="9" t="s">
        <v>38</v>
      </c>
      <c r="B24" s="24">
        <v>0.1</v>
      </c>
      <c r="C24" s="24">
        <v>0.3</v>
      </c>
      <c r="D24" s="24">
        <v>0.4</v>
      </c>
      <c r="E24" s="24">
        <v>0.2</v>
      </c>
    </row>
    <row r="25" spans="1:6" ht="14.5" thickBot="1" x14ac:dyDescent="0.35"/>
    <row r="26" spans="1:6" ht="14.5" thickBot="1" x14ac:dyDescent="0.35">
      <c r="A26" s="87" t="s">
        <v>39</v>
      </c>
      <c r="B26" s="88"/>
      <c r="C26" s="88"/>
      <c r="D26" s="88"/>
      <c r="E26" s="88"/>
      <c r="F26" s="89"/>
    </row>
    <row r="28" spans="1:6" ht="15" customHeight="1" x14ac:dyDescent="0.3">
      <c r="A28" s="13" t="s">
        <v>22</v>
      </c>
      <c r="B28" s="47" t="s">
        <v>40</v>
      </c>
      <c r="C28" s="47" t="s">
        <v>41</v>
      </c>
      <c r="D28" s="47" t="s">
        <v>42</v>
      </c>
    </row>
    <row r="29" spans="1:6" ht="15" customHeight="1" x14ac:dyDescent="0.3">
      <c r="A29" s="9" t="s">
        <v>43</v>
      </c>
      <c r="B29" s="23">
        <v>460</v>
      </c>
      <c r="C29" s="24">
        <v>0.6</v>
      </c>
      <c r="D29" s="23">
        <v>8.5</v>
      </c>
    </row>
    <row r="30" spans="1:6" ht="15" customHeight="1" x14ac:dyDescent="0.3">
      <c r="A30" s="9" t="s">
        <v>44</v>
      </c>
      <c r="B30" s="23">
        <v>180</v>
      </c>
      <c r="C30" s="24">
        <v>0.5</v>
      </c>
      <c r="D30" s="23">
        <v>8.5</v>
      </c>
    </row>
    <row r="31" spans="1:6" x14ac:dyDescent="0.3">
      <c r="A31" s="9" t="s">
        <v>45</v>
      </c>
      <c r="B31" s="23">
        <v>80</v>
      </c>
      <c r="C31" s="24">
        <v>0.4</v>
      </c>
      <c r="D31" s="23">
        <v>8.5</v>
      </c>
    </row>
    <row r="32" spans="1:6" ht="14.5" thickBot="1" x14ac:dyDescent="0.35"/>
    <row r="33" spans="1:6" ht="15" customHeight="1" thickBot="1" x14ac:dyDescent="0.35">
      <c r="A33" s="87" t="s">
        <v>46</v>
      </c>
      <c r="B33" s="88"/>
      <c r="C33" s="88"/>
      <c r="D33" s="88"/>
      <c r="E33" s="88"/>
      <c r="F33" s="89"/>
    </row>
    <row r="35" spans="1:6" ht="15" customHeight="1" x14ac:dyDescent="0.3">
      <c r="A35" s="13" t="s">
        <v>22</v>
      </c>
      <c r="B35" s="47" t="s">
        <v>47</v>
      </c>
      <c r="C35" s="47" t="s">
        <v>48</v>
      </c>
      <c r="D35" s="47" t="s">
        <v>49</v>
      </c>
      <c r="E35" s="47" t="s">
        <v>50</v>
      </c>
    </row>
    <row r="36" spans="1:6" ht="15" customHeight="1" x14ac:dyDescent="0.3">
      <c r="A36" s="9" t="s">
        <v>43</v>
      </c>
      <c r="B36" s="23">
        <v>50</v>
      </c>
      <c r="C36" s="24">
        <v>0.45</v>
      </c>
      <c r="D36" s="24">
        <v>0.7</v>
      </c>
      <c r="E36" s="23">
        <v>125</v>
      </c>
    </row>
    <row r="37" spans="1:6" ht="15" customHeight="1" x14ac:dyDescent="0.3">
      <c r="A37" s="9" t="s">
        <v>44</v>
      </c>
      <c r="B37" s="23">
        <v>35</v>
      </c>
      <c r="C37" s="24">
        <v>0.4</v>
      </c>
      <c r="D37" s="24">
        <v>0.65</v>
      </c>
      <c r="E37" s="23">
        <v>125</v>
      </c>
    </row>
    <row r="38" spans="1:6" ht="15" customHeight="1" x14ac:dyDescent="0.3">
      <c r="A38" s="9" t="s">
        <v>45</v>
      </c>
      <c r="B38" s="23">
        <v>20</v>
      </c>
      <c r="C38" s="24">
        <v>0.35</v>
      </c>
      <c r="D38" s="24">
        <v>0.6</v>
      </c>
      <c r="E38" s="23">
        <v>125</v>
      </c>
    </row>
    <row r="39" spans="1:6" ht="14.5" thickBot="1" x14ac:dyDescent="0.35"/>
    <row r="40" spans="1:6" ht="15" customHeight="1" thickBot="1" x14ac:dyDescent="0.35">
      <c r="A40" s="87" t="s">
        <v>51</v>
      </c>
      <c r="B40" s="88"/>
      <c r="C40" s="88"/>
      <c r="D40" s="88"/>
      <c r="E40" s="88"/>
      <c r="F40" s="89"/>
    </row>
    <row r="42" spans="1:6" ht="15" customHeight="1" x14ac:dyDescent="0.3">
      <c r="A42" s="9" t="s">
        <v>52</v>
      </c>
      <c r="B42" s="23">
        <v>50</v>
      </c>
    </row>
    <row r="43" spans="1:6" ht="15" customHeight="1" x14ac:dyDescent="0.3">
      <c r="A43" s="9" t="s">
        <v>53</v>
      </c>
      <c r="B43" s="23">
        <v>140</v>
      </c>
    </row>
    <row r="44" spans="1:6" ht="15" customHeight="1" x14ac:dyDescent="0.3">
      <c r="A44" s="9" t="s">
        <v>54</v>
      </c>
      <c r="B44" s="23">
        <v>3250</v>
      </c>
    </row>
    <row r="45" spans="1:6" ht="15" customHeight="1" x14ac:dyDescent="0.3">
      <c r="A45" s="9" t="s">
        <v>55</v>
      </c>
      <c r="B45" s="25">
        <v>0.6</v>
      </c>
    </row>
    <row r="46" spans="1:6" ht="15" customHeight="1" x14ac:dyDescent="0.3">
      <c r="A46" s="9" t="s">
        <v>56</v>
      </c>
      <c r="B46" s="25">
        <v>1.85</v>
      </c>
    </row>
    <row r="47" spans="1:6" ht="14.5" thickBot="1" x14ac:dyDescent="0.35"/>
    <row r="48" spans="1:6" ht="15" customHeight="1" thickBot="1" x14ac:dyDescent="0.35">
      <c r="A48" s="87" t="s">
        <v>57</v>
      </c>
      <c r="B48" s="88"/>
      <c r="C48" s="88"/>
      <c r="D48" s="88"/>
      <c r="E48" s="88"/>
      <c r="F48" s="89"/>
    </row>
    <row r="50" spans="1:6" ht="15" customHeight="1" x14ac:dyDescent="0.3">
      <c r="A50" s="9" t="s">
        <v>58</v>
      </c>
      <c r="B50" s="25">
        <v>1.5</v>
      </c>
    </row>
    <row r="51" spans="1:6" ht="15" customHeight="1" x14ac:dyDescent="0.3">
      <c r="A51" s="9" t="s">
        <v>59</v>
      </c>
      <c r="B51" s="25">
        <v>0.5</v>
      </c>
    </row>
    <row r="52" spans="1:6" ht="15" customHeight="1" x14ac:dyDescent="0.3">
      <c r="A52" s="9" t="s">
        <v>60</v>
      </c>
      <c r="B52" s="25">
        <v>0.2</v>
      </c>
    </row>
    <row r="53" spans="1:6" ht="14.5" thickBot="1" x14ac:dyDescent="0.35"/>
    <row r="54" spans="1:6" ht="15" customHeight="1" thickBot="1" x14ac:dyDescent="0.35">
      <c r="A54" s="87" t="s">
        <v>61</v>
      </c>
      <c r="B54" s="88"/>
      <c r="C54" s="88"/>
      <c r="D54" s="88"/>
      <c r="E54" s="88"/>
      <c r="F54" s="89"/>
    </row>
    <row r="56" spans="1:6" ht="15" customHeight="1" x14ac:dyDescent="0.3">
      <c r="A56" s="13" t="s">
        <v>62</v>
      </c>
      <c r="B56" s="47" t="s">
        <v>63</v>
      </c>
      <c r="C56" s="47" t="s">
        <v>64</v>
      </c>
      <c r="D56" s="47" t="s">
        <v>65</v>
      </c>
      <c r="E56" s="47" t="s">
        <v>66</v>
      </c>
      <c r="F56" s="47" t="s">
        <v>67</v>
      </c>
    </row>
    <row r="57" spans="1:6" ht="15" customHeight="1" x14ac:dyDescent="0.3">
      <c r="A57" s="9" t="s">
        <v>68</v>
      </c>
      <c r="B57" s="48">
        <v>0.6</v>
      </c>
      <c r="C57" s="48">
        <v>0.7</v>
      </c>
      <c r="D57" s="48">
        <v>0.85</v>
      </c>
      <c r="E57" s="48">
        <v>0.95</v>
      </c>
      <c r="F57" s="48">
        <v>1</v>
      </c>
    </row>
    <row r="58" spans="1:6" ht="14.5" thickBot="1" x14ac:dyDescent="0.35"/>
    <row r="59" spans="1:6" ht="15" customHeight="1" thickBot="1" x14ac:dyDescent="0.35">
      <c r="A59" s="87" t="s">
        <v>69</v>
      </c>
      <c r="B59" s="88"/>
      <c r="C59" s="88"/>
      <c r="D59" s="88"/>
      <c r="E59" s="88"/>
      <c r="F59" s="89"/>
    </row>
    <row r="61" spans="1:6" ht="15" customHeight="1" x14ac:dyDescent="0.3">
      <c r="A61" s="9" t="s">
        <v>70</v>
      </c>
      <c r="B61" s="24">
        <v>0.3</v>
      </c>
    </row>
    <row r="62" spans="1:6" ht="15" customHeight="1" x14ac:dyDescent="0.3">
      <c r="A62" s="9" t="s">
        <v>71</v>
      </c>
      <c r="B62" s="24">
        <v>0.7</v>
      </c>
    </row>
    <row r="63" spans="1:6" ht="15" customHeight="1" x14ac:dyDescent="0.3">
      <c r="A63" s="9" t="s">
        <v>72</v>
      </c>
      <c r="B63" s="26">
        <f>(B102*B103+B104*B105)/(B102+B104)</f>
        <v>7.1785714285714286E-2</v>
      </c>
    </row>
    <row r="64" spans="1:6" ht="15" customHeight="1" x14ac:dyDescent="0.3">
      <c r="A64" s="9" t="s">
        <v>73</v>
      </c>
      <c r="B64" s="23">
        <v>22</v>
      </c>
    </row>
    <row r="65" spans="1:6" ht="15" customHeight="1" x14ac:dyDescent="0.3">
      <c r="A65" s="9" t="s">
        <v>74</v>
      </c>
      <c r="B65" s="23">
        <v>4</v>
      </c>
    </row>
    <row r="66" spans="1:6" ht="15" customHeight="1" x14ac:dyDescent="0.3">
      <c r="A66" s="9" t="s">
        <v>75</v>
      </c>
      <c r="B66" s="23">
        <v>1.35</v>
      </c>
    </row>
    <row r="67" spans="1:6" ht="14.5" thickBot="1" x14ac:dyDescent="0.35"/>
    <row r="68" spans="1:6" ht="15" customHeight="1" thickBot="1" x14ac:dyDescent="0.35">
      <c r="A68" s="87" t="s">
        <v>76</v>
      </c>
      <c r="B68" s="88"/>
      <c r="C68" s="88"/>
      <c r="D68" s="88"/>
      <c r="E68" s="88"/>
      <c r="F68" s="89"/>
    </row>
    <row r="70" spans="1:6" ht="15" customHeight="1" x14ac:dyDescent="0.3">
      <c r="A70" s="9" t="s">
        <v>77</v>
      </c>
      <c r="B70" s="24">
        <v>0.25</v>
      </c>
    </row>
    <row r="71" spans="1:6" ht="15" customHeight="1" x14ac:dyDescent="0.3">
      <c r="A71" s="9" t="s">
        <v>78</v>
      </c>
      <c r="B71" s="24">
        <v>2.5000000000000001E-2</v>
      </c>
    </row>
    <row r="72" spans="1:6" ht="14.5" thickBot="1" x14ac:dyDescent="0.35"/>
    <row r="73" spans="1:6" ht="15" customHeight="1" thickBot="1" x14ac:dyDescent="0.35">
      <c r="A73" s="87" t="s">
        <v>79</v>
      </c>
      <c r="B73" s="88"/>
      <c r="C73" s="88"/>
      <c r="D73" s="88"/>
      <c r="E73" s="88"/>
      <c r="F73" s="89"/>
    </row>
    <row r="75" spans="1:6" ht="15" customHeight="1" x14ac:dyDescent="0.3">
      <c r="A75" s="9" t="s">
        <v>80</v>
      </c>
      <c r="B75" s="24">
        <v>0</v>
      </c>
    </row>
    <row r="76" spans="1:6" ht="15" customHeight="1" x14ac:dyDescent="0.3">
      <c r="A76" s="9" t="s">
        <v>81</v>
      </c>
      <c r="B76" s="24">
        <v>0</v>
      </c>
    </row>
    <row r="77" spans="1:6" ht="15" customHeight="1" x14ac:dyDescent="0.3">
      <c r="A77" s="9" t="s">
        <v>82</v>
      </c>
      <c r="B77" s="23">
        <v>0</v>
      </c>
    </row>
    <row r="78" spans="1:6" ht="14.5" thickBot="1" x14ac:dyDescent="0.35"/>
    <row r="79" spans="1:6" ht="15" customHeight="1" thickBot="1" x14ac:dyDescent="0.35">
      <c r="A79" s="87" t="s">
        <v>308</v>
      </c>
      <c r="B79" s="88"/>
      <c r="C79" s="88"/>
      <c r="D79" s="88"/>
      <c r="E79" s="88"/>
      <c r="F79" s="89"/>
    </row>
    <row r="80" spans="1:6" ht="15" customHeight="1" x14ac:dyDescent="0.3">
      <c r="A80" s="9" t="s">
        <v>83</v>
      </c>
      <c r="B80" s="27">
        <v>0.42</v>
      </c>
    </row>
    <row r="81" spans="1:6" ht="14.5" thickBot="1" x14ac:dyDescent="0.35"/>
    <row r="82" spans="1:6" ht="15" customHeight="1" thickBot="1" x14ac:dyDescent="0.35">
      <c r="A82" s="87" t="s">
        <v>84</v>
      </c>
      <c r="B82" s="88"/>
      <c r="C82" s="88"/>
      <c r="D82" s="88"/>
      <c r="E82" s="88"/>
      <c r="F82" s="89"/>
    </row>
    <row r="84" spans="1:6" ht="15" customHeight="1" x14ac:dyDescent="0.3">
      <c r="A84" s="9" t="s">
        <v>85</v>
      </c>
      <c r="B84" s="23">
        <v>11.6</v>
      </c>
    </row>
    <row r="85" spans="1:6" ht="15" customHeight="1" x14ac:dyDescent="0.3">
      <c r="A85" s="9" t="s">
        <v>86</v>
      </c>
      <c r="B85" s="23">
        <v>9</v>
      </c>
    </row>
    <row r="86" spans="1:6" ht="14.5" thickBot="1" x14ac:dyDescent="0.35"/>
    <row r="87" spans="1:6" ht="15" customHeight="1" thickBot="1" x14ac:dyDescent="0.35">
      <c r="A87" s="87" t="s">
        <v>87</v>
      </c>
      <c r="B87" s="88"/>
      <c r="C87" s="88"/>
      <c r="D87" s="88"/>
      <c r="E87" s="88"/>
      <c r="F87" s="89"/>
    </row>
    <row r="89" spans="1:6" ht="15" customHeight="1" x14ac:dyDescent="0.3">
      <c r="A89" s="13" t="s">
        <v>88</v>
      </c>
      <c r="B89" s="13" t="s">
        <v>89</v>
      </c>
      <c r="C89" s="13" t="s">
        <v>90</v>
      </c>
    </row>
    <row r="90" spans="1:6" ht="15" customHeight="1" x14ac:dyDescent="0.3">
      <c r="A90" s="9" t="s">
        <v>91</v>
      </c>
      <c r="B90" s="24">
        <v>0.04</v>
      </c>
      <c r="C90" s="24">
        <v>0.4</v>
      </c>
    </row>
    <row r="91" spans="1:6" ht="15" customHeight="1" x14ac:dyDescent="0.3">
      <c r="A91" s="9" t="s">
        <v>92</v>
      </c>
      <c r="B91" s="24">
        <v>0.08</v>
      </c>
      <c r="C91" s="24">
        <v>0.25</v>
      </c>
    </row>
    <row r="92" spans="1:6" ht="15" customHeight="1" x14ac:dyDescent="0.3">
      <c r="A92" s="9" t="s">
        <v>93</v>
      </c>
      <c r="B92" s="24">
        <v>0.2</v>
      </c>
      <c r="C92" s="24">
        <v>0.2</v>
      </c>
    </row>
    <row r="93" spans="1:6" ht="15" customHeight="1" x14ac:dyDescent="0.3">
      <c r="A93" s="9" t="s">
        <v>94</v>
      </c>
      <c r="B93" s="24">
        <v>0.3</v>
      </c>
      <c r="C93" s="24">
        <v>0.1</v>
      </c>
    </row>
    <row r="94" spans="1:6" ht="15" customHeight="1" x14ac:dyDescent="0.3">
      <c r="A94" s="9" t="s">
        <v>95</v>
      </c>
      <c r="B94" s="24">
        <v>0.55000000000000004</v>
      </c>
      <c r="C94" s="24">
        <v>0.05</v>
      </c>
    </row>
    <row r="95" spans="1:6" ht="14.5" thickBot="1" x14ac:dyDescent="0.35"/>
    <row r="96" spans="1:6" ht="15" customHeight="1" thickBot="1" x14ac:dyDescent="0.35">
      <c r="A96" s="87" t="s">
        <v>310</v>
      </c>
      <c r="B96" s="88"/>
      <c r="C96" s="88"/>
      <c r="D96" s="88"/>
      <c r="E96" s="88"/>
      <c r="F96" s="89"/>
    </row>
    <row r="98" spans="1:6" ht="15" customHeight="1" x14ac:dyDescent="0.3">
      <c r="A98" s="9" t="s">
        <v>96</v>
      </c>
      <c r="B98" s="24">
        <v>0.13500000000000001</v>
      </c>
    </row>
    <row r="99" spans="1:6" ht="15" customHeight="1" x14ac:dyDescent="0.3">
      <c r="A99" s="9" t="s">
        <v>309</v>
      </c>
      <c r="B99" s="28">
        <v>6.44</v>
      </c>
    </row>
    <row r="100" spans="1:6" ht="15" customHeight="1" thickBot="1" x14ac:dyDescent="0.35">
      <c r="B100" s="28"/>
    </row>
    <row r="101" spans="1:6" ht="15" customHeight="1" thickBot="1" x14ac:dyDescent="0.35">
      <c r="A101" s="87" t="s">
        <v>97</v>
      </c>
      <c r="B101" s="88"/>
      <c r="C101" s="88"/>
      <c r="D101" s="88"/>
      <c r="E101" s="88"/>
      <c r="F101" s="89"/>
    </row>
    <row r="102" spans="1:6" ht="15" customHeight="1" x14ac:dyDescent="0.3">
      <c r="A102" s="9" t="s">
        <v>98</v>
      </c>
      <c r="B102" s="24">
        <v>0.55000000000000004</v>
      </c>
    </row>
    <row r="103" spans="1:6" ht="15" customHeight="1" x14ac:dyDescent="0.3">
      <c r="A103" s="9" t="s">
        <v>99</v>
      </c>
      <c r="B103" s="24">
        <v>0.06</v>
      </c>
    </row>
    <row r="104" spans="1:6" ht="15" customHeight="1" x14ac:dyDescent="0.3">
      <c r="A104" s="9" t="s">
        <v>100</v>
      </c>
      <c r="B104" s="24">
        <v>0.15</v>
      </c>
    </row>
    <row r="105" spans="1:6" ht="15" customHeight="1" x14ac:dyDescent="0.3">
      <c r="A105" s="9" t="s">
        <v>101</v>
      </c>
      <c r="B105" s="24">
        <v>0.115</v>
      </c>
    </row>
    <row r="106" spans="1:6" ht="14.5" thickBot="1" x14ac:dyDescent="0.35"/>
    <row r="107" spans="1:6" ht="15" customHeight="1" thickBot="1" x14ac:dyDescent="0.35">
      <c r="A107" s="87" t="s">
        <v>102</v>
      </c>
      <c r="B107" s="88"/>
      <c r="C107" s="88"/>
      <c r="D107" s="88"/>
      <c r="E107" s="88"/>
      <c r="F107" s="89"/>
    </row>
    <row r="108" spans="1:6" ht="15" customHeight="1" x14ac:dyDescent="0.3">
      <c r="A108" s="9" t="s">
        <v>103</v>
      </c>
      <c r="B108" s="23">
        <v>6</v>
      </c>
    </row>
    <row r="109" spans="1:6" ht="15" customHeight="1" x14ac:dyDescent="0.3">
      <c r="A109" s="9" t="s">
        <v>104</v>
      </c>
      <c r="B109" s="24">
        <v>0.05</v>
      </c>
    </row>
    <row r="110" spans="1:6" ht="15" customHeight="1" x14ac:dyDescent="0.3">
      <c r="A110" s="9" t="s">
        <v>105</v>
      </c>
      <c r="B110" s="23">
        <v>6</v>
      </c>
    </row>
  </sheetData>
  <mergeCells count="18">
    <mergeCell ref="A33:F33"/>
    <mergeCell ref="A1:F1"/>
    <mergeCell ref="A3:F3"/>
    <mergeCell ref="A12:F12"/>
    <mergeCell ref="A20:F20"/>
    <mergeCell ref="A26:F26"/>
    <mergeCell ref="A107:F107"/>
    <mergeCell ref="A40:F40"/>
    <mergeCell ref="A48:F48"/>
    <mergeCell ref="A54:F54"/>
    <mergeCell ref="A59:F59"/>
    <mergeCell ref="A68:F68"/>
    <mergeCell ref="A73:F73"/>
    <mergeCell ref="A79:F79"/>
    <mergeCell ref="A82:F82"/>
    <mergeCell ref="A87:F87"/>
    <mergeCell ref="A96:F96"/>
    <mergeCell ref="A101:F101"/>
  </mergeCells>
  <pageMargins left="0.3" right="0.3" top="0.5" bottom="0.5" header="0.2" footer="0.2"/>
  <pageSetup paperSize="9" scale="76" fitToHeight="0" orientation="portrait" horizontalDpi="300" verticalDpi="300" r:id="rId1"/>
  <headerFooter>
    <oddHeader>&amp;CAssumptions</oddHeader>
    <oddFooter>&amp;RPage &amp;P of &amp;N</oddFooter>
  </headerFooter>
  <rowBreaks count="1" manualBreakCount="1">
    <brk id="67"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G78"/>
  <sheetViews>
    <sheetView showGridLines="0" zoomScaleNormal="100" workbookViewId="0">
      <selection activeCell="A59" sqref="A59:F63"/>
    </sheetView>
  </sheetViews>
  <sheetFormatPr defaultColWidth="8.6328125" defaultRowHeight="14" x14ac:dyDescent="0.3"/>
  <cols>
    <col min="1" max="1" width="30" style="9" customWidth="1"/>
    <col min="2" max="3" width="11" style="9" customWidth="1"/>
    <col min="4" max="33" width="10.54296875" style="9" customWidth="1"/>
    <col min="34" max="16384" width="8.6328125" style="9"/>
  </cols>
  <sheetData>
    <row r="1" spans="1:33" ht="17.25" customHeight="1" thickBot="1" x14ac:dyDescent="0.35">
      <c r="A1" s="90" t="s">
        <v>106</v>
      </c>
      <c r="B1" s="91"/>
      <c r="C1" s="91"/>
      <c r="D1" s="91"/>
      <c r="E1" s="91"/>
      <c r="F1" s="91"/>
      <c r="G1" s="91"/>
      <c r="H1" s="91"/>
      <c r="I1" s="91"/>
      <c r="J1" s="91"/>
      <c r="K1" s="91"/>
      <c r="L1" s="92"/>
    </row>
    <row r="2" spans="1:33" ht="15" customHeight="1" x14ac:dyDescent="0.3">
      <c r="A2" s="93" t="s">
        <v>107</v>
      </c>
      <c r="B2" s="93"/>
      <c r="C2" s="93"/>
      <c r="D2" s="93"/>
      <c r="E2" s="93"/>
      <c r="F2" s="93"/>
      <c r="G2" s="93"/>
      <c r="H2" s="93"/>
      <c r="I2" s="93"/>
      <c r="J2" s="93"/>
      <c r="K2" s="93"/>
      <c r="L2" s="93"/>
    </row>
    <row r="3" spans="1:33" ht="14.5" thickBot="1" x14ac:dyDescent="0.35"/>
    <row r="4" spans="1:33" ht="28.5" thickBot="1" x14ac:dyDescent="0.35">
      <c r="A4" s="13" t="s">
        <v>108</v>
      </c>
      <c r="B4" s="52" t="s">
        <v>109</v>
      </c>
      <c r="C4" s="52" t="s">
        <v>110</v>
      </c>
      <c r="D4" s="52" t="s">
        <v>111</v>
      </c>
      <c r="E4" s="52" t="s">
        <v>112</v>
      </c>
      <c r="F4" s="52" t="s">
        <v>113</v>
      </c>
      <c r="G4" s="52" t="s">
        <v>114</v>
      </c>
      <c r="H4" s="52" t="s">
        <v>115</v>
      </c>
      <c r="I4" s="52" t="s">
        <v>116</v>
      </c>
      <c r="J4" s="52" t="s">
        <v>117</v>
      </c>
      <c r="K4" s="52" t="s">
        <v>118</v>
      </c>
      <c r="L4" s="52" t="s">
        <v>119</v>
      </c>
    </row>
    <row r="5" spans="1:33" ht="15" customHeight="1" x14ac:dyDescent="0.3">
      <c r="A5" s="9" t="s">
        <v>120</v>
      </c>
      <c r="B5" s="23">
        <v>53</v>
      </c>
      <c r="C5" s="23">
        <v>3</v>
      </c>
      <c r="D5" s="23">
        <v>460</v>
      </c>
      <c r="E5" s="24">
        <v>0.6</v>
      </c>
      <c r="F5" s="23">
        <v>8.5</v>
      </c>
      <c r="G5" s="23">
        <v>50</v>
      </c>
      <c r="H5" s="24">
        <v>0.45</v>
      </c>
      <c r="I5" s="24">
        <v>0.7</v>
      </c>
      <c r="J5" s="23">
        <v>125</v>
      </c>
      <c r="K5" s="23">
        <v>12</v>
      </c>
      <c r="L5" s="23">
        <v>1.5</v>
      </c>
    </row>
    <row r="6" spans="1:33" ht="15" customHeight="1" x14ac:dyDescent="0.3">
      <c r="A6" s="9" t="s">
        <v>121</v>
      </c>
      <c r="B6" s="23">
        <v>18</v>
      </c>
      <c r="C6" s="23">
        <v>4</v>
      </c>
      <c r="D6" s="23">
        <v>194</v>
      </c>
      <c r="E6" s="24">
        <v>0.5</v>
      </c>
      <c r="F6" s="23">
        <v>8.5</v>
      </c>
      <c r="G6" s="23">
        <v>38</v>
      </c>
      <c r="H6" s="24">
        <v>0.4</v>
      </c>
      <c r="I6" s="24">
        <v>0.65</v>
      </c>
      <c r="J6" s="23">
        <v>125</v>
      </c>
      <c r="K6" s="23">
        <v>4.0279999999999996</v>
      </c>
      <c r="L6" s="23">
        <v>0.54</v>
      </c>
    </row>
    <row r="7" spans="1:33" ht="15" customHeight="1" x14ac:dyDescent="0.3">
      <c r="A7" s="9" t="s">
        <v>122</v>
      </c>
      <c r="B7" s="23">
        <v>16</v>
      </c>
      <c r="C7" s="23">
        <v>4</v>
      </c>
      <c r="D7" s="23">
        <v>173</v>
      </c>
      <c r="E7" s="24">
        <v>0.5</v>
      </c>
      <c r="F7" s="23">
        <v>8.5</v>
      </c>
      <c r="G7" s="23">
        <v>34</v>
      </c>
      <c r="H7" s="24">
        <v>0.4</v>
      </c>
      <c r="I7" s="24">
        <v>0.65</v>
      </c>
      <c r="J7" s="23">
        <v>125</v>
      </c>
      <c r="K7" s="23">
        <v>3.581</v>
      </c>
      <c r="L7" s="23">
        <v>0.48</v>
      </c>
    </row>
    <row r="8" spans="1:33" ht="15" customHeight="1" x14ac:dyDescent="0.3">
      <c r="A8" s="9" t="s">
        <v>123</v>
      </c>
      <c r="B8" s="23">
        <v>16</v>
      </c>
      <c r="C8" s="23">
        <v>4</v>
      </c>
      <c r="D8" s="23">
        <v>173</v>
      </c>
      <c r="E8" s="24">
        <v>0.5</v>
      </c>
      <c r="F8" s="23">
        <v>8.5</v>
      </c>
      <c r="G8" s="23">
        <v>34</v>
      </c>
      <c r="H8" s="24">
        <v>0.4</v>
      </c>
      <c r="I8" s="24">
        <v>0.65</v>
      </c>
      <c r="J8" s="23">
        <v>125</v>
      </c>
      <c r="K8" s="23">
        <v>3.581</v>
      </c>
      <c r="L8" s="23">
        <v>0.48</v>
      </c>
    </row>
    <row r="9" spans="1:33" ht="15" customHeight="1" x14ac:dyDescent="0.3">
      <c r="A9" s="9" t="s">
        <v>124</v>
      </c>
      <c r="B9" s="23">
        <v>8.1999999999999993</v>
      </c>
      <c r="C9" s="23">
        <v>4</v>
      </c>
      <c r="D9" s="23">
        <v>84</v>
      </c>
      <c r="E9" s="24">
        <v>0.4</v>
      </c>
      <c r="F9" s="23">
        <v>8.5</v>
      </c>
      <c r="G9" s="23">
        <v>21</v>
      </c>
      <c r="H9" s="24">
        <v>0.35</v>
      </c>
      <c r="I9" s="24">
        <v>0.6</v>
      </c>
      <c r="J9" s="23">
        <v>125</v>
      </c>
      <c r="K9" s="23">
        <v>1.9219999999999999</v>
      </c>
      <c r="L9" s="23">
        <v>0.20899999999999999</v>
      </c>
    </row>
    <row r="10" spans="1:33" ht="15" customHeight="1" x14ac:dyDescent="0.3">
      <c r="A10" s="9" t="s">
        <v>125</v>
      </c>
      <c r="B10" s="23">
        <v>7.7</v>
      </c>
      <c r="C10" s="23">
        <v>4</v>
      </c>
      <c r="D10" s="23">
        <v>79</v>
      </c>
      <c r="E10" s="24">
        <v>0.4</v>
      </c>
      <c r="F10" s="23">
        <v>8.5</v>
      </c>
      <c r="G10" s="23">
        <v>20</v>
      </c>
      <c r="H10" s="24">
        <v>0.35</v>
      </c>
      <c r="I10" s="24">
        <v>0.6</v>
      </c>
      <c r="J10" s="23">
        <v>125</v>
      </c>
      <c r="K10" s="23">
        <v>1.8049999999999999</v>
      </c>
      <c r="L10" s="23">
        <v>0.19600000000000001</v>
      </c>
    </row>
    <row r="11" spans="1:33" ht="15" customHeight="1" x14ac:dyDescent="0.3">
      <c r="A11" s="9" t="s">
        <v>126</v>
      </c>
      <c r="B11" s="23">
        <v>7.7</v>
      </c>
      <c r="C11" s="23">
        <v>4</v>
      </c>
      <c r="D11" s="23">
        <v>79</v>
      </c>
      <c r="E11" s="24">
        <v>0.4</v>
      </c>
      <c r="F11" s="23">
        <v>8.5</v>
      </c>
      <c r="G11" s="23">
        <v>20</v>
      </c>
      <c r="H11" s="24">
        <v>0.35</v>
      </c>
      <c r="I11" s="24">
        <v>0.6</v>
      </c>
      <c r="J11" s="23">
        <v>125</v>
      </c>
      <c r="K11" s="23">
        <v>1.8049999999999999</v>
      </c>
      <c r="L11" s="23">
        <v>0.19600000000000001</v>
      </c>
    </row>
    <row r="12" spans="1:33" ht="15" customHeight="1" x14ac:dyDescent="0.3">
      <c r="A12" s="9" t="s">
        <v>127</v>
      </c>
      <c r="B12" s="23">
        <v>7.8</v>
      </c>
      <c r="C12" s="23">
        <v>4</v>
      </c>
      <c r="D12" s="23">
        <v>80</v>
      </c>
      <c r="E12" s="24">
        <v>0.4</v>
      </c>
      <c r="F12" s="23">
        <v>8.5</v>
      </c>
      <c r="G12" s="23">
        <v>20</v>
      </c>
      <c r="H12" s="24">
        <v>0.35</v>
      </c>
      <c r="I12" s="24">
        <v>0.6</v>
      </c>
      <c r="J12" s="23">
        <v>125</v>
      </c>
      <c r="K12" s="23">
        <v>1.8280000000000001</v>
      </c>
      <c r="L12" s="23">
        <v>0.19900000000000001</v>
      </c>
    </row>
    <row r="13" spans="1:33" ht="14.5" thickBot="1" x14ac:dyDescent="0.35"/>
    <row r="14" spans="1:33" ht="15" customHeight="1" thickBot="1" x14ac:dyDescent="0.35">
      <c r="A14" s="53" t="s">
        <v>128</v>
      </c>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5"/>
    </row>
    <row r="16" spans="1:33" ht="15" customHeight="1" x14ac:dyDescent="0.3">
      <c r="A16" s="9" t="s">
        <v>311</v>
      </c>
      <c r="D16" s="9">
        <f>IF(Model!D3&gt;=$C$5,Model!D3-$C$5+1,0)</f>
        <v>0</v>
      </c>
      <c r="E16" s="9">
        <f>IF(Model!E3&gt;=$C$5,Model!E3-$C$5+1,0)</f>
        <v>0</v>
      </c>
      <c r="F16" s="9">
        <f>IF(Model!F3&gt;=$C$5,Model!F3-$C$5+1,0)</f>
        <v>1</v>
      </c>
      <c r="G16" s="9">
        <f>IF(Model!G3&gt;=$C$5,Model!G3-$C$5+1,0)</f>
        <v>2</v>
      </c>
      <c r="H16" s="9">
        <f>IF(Model!H3&gt;=$C$5,Model!H3-$C$5+1,0)</f>
        <v>3</v>
      </c>
      <c r="I16" s="9">
        <f>IF(Model!I3&gt;=$C$5,Model!I3-$C$5+1,0)</f>
        <v>4</v>
      </c>
      <c r="J16" s="9">
        <f>IF(Model!J3&gt;=$C$5,Model!J3-$C$5+1,0)</f>
        <v>5</v>
      </c>
      <c r="K16" s="9">
        <f>IF(Model!K3&gt;=$C$5,Model!K3-$C$5+1,0)</f>
        <v>6</v>
      </c>
      <c r="L16" s="9">
        <f>IF(Model!L3&gt;=$C$5,Model!L3-$C$5+1,0)</f>
        <v>7</v>
      </c>
      <c r="M16" s="9">
        <f>IF(Model!M3&gt;=$C$5,Model!M3-$C$5+1,0)</f>
        <v>8</v>
      </c>
      <c r="N16" s="9">
        <f>IF(Model!N3&gt;=$C$5,Model!N3-$C$5+1,0)</f>
        <v>9</v>
      </c>
      <c r="O16" s="9">
        <f>IF(Model!O3&gt;=$C$5,Model!O3-$C$5+1,0)</f>
        <v>10</v>
      </c>
      <c r="P16" s="9">
        <f>IF(Model!P3&gt;=$C$5,Model!P3-$C$5+1,0)</f>
        <v>11</v>
      </c>
      <c r="Q16" s="9">
        <f>IF(Model!Q3&gt;=$C$5,Model!Q3-$C$5+1,0)</f>
        <v>12</v>
      </c>
      <c r="R16" s="9">
        <f>IF(Model!R3&gt;=$C$5,Model!R3-$C$5+1,0)</f>
        <v>13</v>
      </c>
      <c r="S16" s="9">
        <f>IF(Model!S3&gt;=$C$5,Model!S3-$C$5+1,0)</f>
        <v>14</v>
      </c>
      <c r="T16" s="9">
        <f>IF(Model!T3&gt;=$C$5,Model!T3-$C$5+1,0)</f>
        <v>15</v>
      </c>
      <c r="U16" s="9">
        <f>IF(Model!U3&gt;=$C$5,Model!U3-$C$5+1,0)</f>
        <v>16</v>
      </c>
      <c r="V16" s="9">
        <f>IF(Model!V3&gt;=$C$5,Model!V3-$C$5+1,0)</f>
        <v>17</v>
      </c>
      <c r="W16" s="9">
        <f>IF(Model!W3&gt;=$C$5,Model!W3-$C$5+1,0)</f>
        <v>18</v>
      </c>
      <c r="X16" s="9">
        <f>IF(Model!X3&gt;=$C$5,Model!X3-$C$5+1,0)</f>
        <v>19</v>
      </c>
      <c r="Y16" s="9">
        <f>IF(Model!Y3&gt;=$C$5,Model!Y3-$C$5+1,0)</f>
        <v>20</v>
      </c>
      <c r="Z16" s="9">
        <f>IF(Model!Z3&gt;=$C$5,Model!Z3-$C$5+1,0)</f>
        <v>21</v>
      </c>
      <c r="AA16" s="9">
        <f>IF(Model!AA3&gt;=$C$5,Model!AA3-$C$5+1,0)</f>
        <v>22</v>
      </c>
      <c r="AB16" s="9">
        <f>IF(Model!AB3&gt;=$C$5,Model!AB3-$C$5+1,0)</f>
        <v>23</v>
      </c>
      <c r="AC16" s="9">
        <f>IF(Model!AC3&gt;=$C$5,Model!AC3-$C$5+1,0)</f>
        <v>24</v>
      </c>
      <c r="AD16" s="9">
        <f>IF(Model!AD3&gt;=$C$5,Model!AD3-$C$5+1,0)</f>
        <v>25</v>
      </c>
      <c r="AE16" s="9">
        <f>IF(Model!AE3&gt;=$C$5,Model!AE3-$C$5+1,0)</f>
        <v>26</v>
      </c>
      <c r="AF16" s="9">
        <f>IF(Model!AF3&gt;=$C$5,Model!AF3-$C$5+1,0)</f>
        <v>27</v>
      </c>
      <c r="AG16" s="9">
        <f>IF(Model!AG3&gt;=$C$5,Model!AG3-$C$5+1,0)</f>
        <v>28</v>
      </c>
    </row>
    <row r="17" spans="1:33" ht="15" customHeight="1" x14ac:dyDescent="0.3">
      <c r="A17" s="9" t="s">
        <v>312</v>
      </c>
      <c r="D17" s="21">
        <f>IF(Model!D3&lt;=4,$B$5*INDEX(Assumptions!$B$23:$E$23,Model!D3),0)*(1+Assumptions!$B$76)</f>
        <v>10.600000000000001</v>
      </c>
      <c r="E17" s="21">
        <f>IF(Model!E3&lt;=4,$B$5*INDEX(Assumptions!$B$23:$E$23,Model!E3),0)*(1+Assumptions!$B$76)</f>
        <v>21.200000000000003</v>
      </c>
      <c r="F17" s="21">
        <f>IF(Model!F3&lt;=4,$B$5*INDEX(Assumptions!$B$23:$E$23,Model!F3),0)*(1+Assumptions!$B$76)</f>
        <v>21.200000000000003</v>
      </c>
      <c r="G17" s="21">
        <f>IF(Model!G3&lt;=4,$B$5*INDEX(Assumptions!$B$23:$E$23,Model!G3),0)*(1+Assumptions!$B$76)</f>
        <v>0</v>
      </c>
      <c r="H17" s="21">
        <f>IF(Model!H3&lt;=4,$B$5*INDEX(Assumptions!$B$23:$E$23,Model!H3),0)*(1+Assumptions!$B$76)</f>
        <v>0</v>
      </c>
      <c r="I17" s="21">
        <f>IF(Model!I3&lt;=4,$B$5*INDEX(Assumptions!$B$23:$E$23,Model!I3),0)*(1+Assumptions!$B$76)</f>
        <v>0</v>
      </c>
      <c r="J17" s="21">
        <f>IF(Model!J3&lt;=4,$B$5*INDEX(Assumptions!$B$23:$E$23,Model!J3),0)*(1+Assumptions!$B$76)</f>
        <v>0</v>
      </c>
      <c r="K17" s="21">
        <f>IF(Model!K3&lt;=4,$B$5*INDEX(Assumptions!$B$23:$E$23,Model!K3),0)*(1+Assumptions!$B$76)</f>
        <v>0</v>
      </c>
      <c r="L17" s="21">
        <f>IF(Model!L3&lt;=4,$B$5*INDEX(Assumptions!$B$23:$E$23,Model!L3),0)*(1+Assumptions!$B$76)</f>
        <v>0</v>
      </c>
      <c r="M17" s="21">
        <f>IF(Model!M3&lt;=4,$B$5*INDEX(Assumptions!$B$23:$E$23,Model!M3),0)*(1+Assumptions!$B$76)</f>
        <v>0</v>
      </c>
      <c r="N17" s="21">
        <f>IF(Model!N3&lt;=4,$B$5*INDEX(Assumptions!$B$23:$E$23,Model!N3),0)*(1+Assumptions!$B$76)</f>
        <v>0</v>
      </c>
      <c r="O17" s="21">
        <f>IF(Model!O3&lt;=4,$B$5*INDEX(Assumptions!$B$23:$E$23,Model!O3),0)*(1+Assumptions!$B$76)</f>
        <v>0</v>
      </c>
      <c r="P17" s="21">
        <f>IF(Model!P3&lt;=4,$B$5*INDEX(Assumptions!$B$23:$E$23,Model!P3),0)*(1+Assumptions!$B$76)</f>
        <v>0</v>
      </c>
      <c r="Q17" s="21">
        <f>IF(Model!Q3&lt;=4,$B$5*INDEX(Assumptions!$B$23:$E$23,Model!Q3),0)*(1+Assumptions!$B$76)</f>
        <v>0</v>
      </c>
      <c r="R17" s="21">
        <f>IF(Model!R3&lt;=4,$B$5*INDEX(Assumptions!$B$23:$E$23,Model!R3),0)*(1+Assumptions!$B$76)</f>
        <v>0</v>
      </c>
      <c r="S17" s="21">
        <f>IF(Model!S3&lt;=4,$B$5*INDEX(Assumptions!$B$23:$E$23,Model!S3),0)*(1+Assumptions!$B$76)</f>
        <v>0</v>
      </c>
      <c r="T17" s="21">
        <f>IF(Model!T3&lt;=4,$B$5*INDEX(Assumptions!$B$23:$E$23,Model!T3),0)*(1+Assumptions!$B$76)</f>
        <v>0</v>
      </c>
      <c r="U17" s="21">
        <f>IF(Model!U3&lt;=4,$B$5*INDEX(Assumptions!$B$23:$E$23,Model!U3),0)*(1+Assumptions!$B$76)</f>
        <v>0</v>
      </c>
      <c r="V17" s="21">
        <f>IF(Model!V3&lt;=4,$B$5*INDEX(Assumptions!$B$23:$E$23,Model!V3),0)*(1+Assumptions!$B$76)</f>
        <v>0</v>
      </c>
      <c r="W17" s="21">
        <f>IF(Model!W3&lt;=4,$B$5*INDEX(Assumptions!$B$23:$E$23,Model!W3),0)*(1+Assumptions!$B$76)</f>
        <v>0</v>
      </c>
      <c r="X17" s="21">
        <f>IF(Model!X3&lt;=4,$B$5*INDEX(Assumptions!$B$23:$E$23,Model!X3),0)*(1+Assumptions!$B$76)</f>
        <v>0</v>
      </c>
      <c r="Y17" s="21">
        <f>IF(Model!Y3&lt;=4,$B$5*INDEX(Assumptions!$B$23:$E$23,Model!Y3),0)*(1+Assumptions!$B$76)</f>
        <v>0</v>
      </c>
      <c r="Z17" s="21">
        <f>IF(Model!Z3&lt;=4,$B$5*INDEX(Assumptions!$B$23:$E$23,Model!Z3),0)*(1+Assumptions!$B$76)</f>
        <v>0</v>
      </c>
      <c r="AA17" s="21">
        <f>IF(Model!AA3&lt;=4,$B$5*INDEX(Assumptions!$B$23:$E$23,Model!AA3),0)*(1+Assumptions!$B$76)</f>
        <v>0</v>
      </c>
      <c r="AB17" s="21">
        <f>IF(Model!AB3&lt;=4,$B$5*INDEX(Assumptions!$B$23:$E$23,Model!AB3),0)*(1+Assumptions!$B$76)</f>
        <v>0</v>
      </c>
      <c r="AC17" s="21">
        <f>IF(Model!AC3&lt;=4,$B$5*INDEX(Assumptions!$B$23:$E$23,Model!AC3),0)*(1+Assumptions!$B$76)</f>
        <v>0</v>
      </c>
      <c r="AD17" s="21">
        <f>IF(Model!AD3&lt;=4,$B$5*INDEX(Assumptions!$B$23:$E$23,Model!AD3),0)*(1+Assumptions!$B$76)</f>
        <v>0</v>
      </c>
      <c r="AE17" s="21">
        <f>IF(Model!AE3&lt;=4,$B$5*INDEX(Assumptions!$B$23:$E$23,Model!AE3),0)*(1+Assumptions!$B$76)</f>
        <v>0</v>
      </c>
      <c r="AF17" s="21">
        <f>IF(Model!AF3&lt;=4,$B$5*INDEX(Assumptions!$B$23:$E$23,Model!AF3),0)*(1+Assumptions!$B$76)</f>
        <v>0</v>
      </c>
      <c r="AG17" s="21">
        <f>IF(Model!AG3&lt;=4,$B$5*INDEX(Assumptions!$B$23:$E$23,Model!AG3),0)*(1+Assumptions!$B$76)</f>
        <v>0</v>
      </c>
    </row>
    <row r="18" spans="1:33" ht="15" customHeight="1" x14ac:dyDescent="0.3">
      <c r="A18" s="9" t="s">
        <v>313</v>
      </c>
      <c r="D18" s="21">
        <f>$D$5*$E$5*(1+Assumptions!$B$75)*IF(D16&lt;=0,0,INDEX(Assumptions!$B$57:$F$57,MIN(D16,5)))*8760*$F$5*(1+Assumptions!$B$71)^(Model!D3-1)*Assumptions!$B$80/1000000</f>
        <v>0</v>
      </c>
      <c r="E18" s="21">
        <f>$D$5*$E$5*(1+Assumptions!$B$75)*IF(E16&lt;=0,0,INDEX(Assumptions!$B$57:$F$57,MIN(E16,5)))*8760*$F$5*(1+Assumptions!$B$71)^(Model!E3-1)*Assumptions!$B$80/1000000</f>
        <v>0</v>
      </c>
      <c r="F18" s="21">
        <f>$D$5*$E$5*(1+Assumptions!$B$75)*IF(F16&lt;=0,0,INDEX(Assumptions!$B$57:$F$57,MIN(F16,5)))*8760*$F$5*(1+Assumptions!$B$71)^(Model!F3-1)*Assumptions!$B$80/1000000</f>
        <v>5.4410207921999989</v>
      </c>
      <c r="G18" s="21">
        <f>$D$5*$E$5*(1+Assumptions!$B$75)*IF(G16&lt;=0,0,INDEX(Assumptions!$B$57:$F$57,MIN(G16,5)))*8760*$F$5*(1+Assumptions!$B$71)^(Model!G3-1)*Assumptions!$B$80/1000000</f>
        <v>6.5065540306724987</v>
      </c>
      <c r="H18" s="21">
        <f>$D$5*$E$5*(1+Assumptions!$B$75)*IF(H16&lt;=0,0,INDEX(Assumptions!$B$57:$F$57,MIN(H16,5)))*8760*$F$5*(1+Assumptions!$B$71)^(Model!H3-1)*Assumptions!$B$80/1000000</f>
        <v>8.0983359988905921</v>
      </c>
      <c r="I18" s="21">
        <f>$D$5*$E$5*(1+Assumptions!$B$75)*IF(I16&lt;=0,0,INDEX(Assumptions!$B$57:$F$57,MIN(I16,5)))*8760*$F$5*(1+Assumptions!$B$71)^(Model!I3-1)*Assumptions!$B$80/1000000</f>
        <v>9.2773584457878968</v>
      </c>
      <c r="J18" s="21">
        <f>$D$5*$E$5*(1+Assumptions!$B$75)*IF(J16&lt;=0,0,INDEX(Assumptions!$B$57:$F$57,MIN(J16,5)))*8760*$F$5*(1+Assumptions!$B$71)^(Model!J3-1)*Assumptions!$B$80/1000000</f>
        <v>10.009781480981678</v>
      </c>
      <c r="K18" s="21">
        <f>$D$5*$E$5*(1+Assumptions!$B$75)*IF(K16&lt;=0,0,INDEX(Assumptions!$B$57:$F$57,MIN(K16,5)))*8760*$F$5*(1+Assumptions!$B$71)^(Model!K3-1)*Assumptions!$B$80/1000000</f>
        <v>10.26002601800622</v>
      </c>
      <c r="L18" s="21">
        <f>$D$5*$E$5*(1+Assumptions!$B$75)*IF(L16&lt;=0,0,INDEX(Assumptions!$B$57:$F$57,MIN(L16,5)))*8760*$F$5*(1+Assumptions!$B$71)^(Model!L3-1)*Assumptions!$B$80/1000000</f>
        <v>10.516526668456375</v>
      </c>
      <c r="M18" s="21">
        <f>$D$5*$E$5*(1+Assumptions!$B$75)*IF(M16&lt;=0,0,INDEX(Assumptions!$B$57:$F$57,MIN(M16,5)))*8760*$F$5*(1+Assumptions!$B$71)^(Model!M3-1)*Assumptions!$B$80/1000000</f>
        <v>10.779439835167784</v>
      </c>
      <c r="N18" s="21">
        <f>$D$5*$E$5*(1+Assumptions!$B$75)*IF(N16&lt;=0,0,INDEX(Assumptions!$B$57:$F$57,MIN(N16,5)))*8760*$F$5*(1+Assumptions!$B$71)^(Model!N3-1)*Assumptions!$B$80/1000000</f>
        <v>11.048925831046976</v>
      </c>
      <c r="O18" s="21">
        <f>$D$5*$E$5*(1+Assumptions!$B$75)*IF(O16&lt;=0,0,INDEX(Assumptions!$B$57:$F$57,MIN(O16,5)))*8760*$F$5*(1+Assumptions!$B$71)^(Model!O3-1)*Assumptions!$B$80/1000000</f>
        <v>11.325148976823153</v>
      </c>
      <c r="P18" s="21">
        <f>$D$5*$E$5*(1+Assumptions!$B$75)*IF(P16&lt;=0,0,INDEX(Assumptions!$B$57:$F$57,MIN(P16,5)))*8760*$F$5*(1+Assumptions!$B$71)^(Model!P3-1)*Assumptions!$B$80/1000000</f>
        <v>11.608277701243731</v>
      </c>
      <c r="Q18" s="21">
        <f>$D$5*$E$5*(1+Assumptions!$B$75)*IF(Q16&lt;=0,0,INDEX(Assumptions!$B$57:$F$57,MIN(Q16,5)))*8760*$F$5*(1+Assumptions!$B$71)^(Model!Q3-1)*Assumptions!$B$80/1000000</f>
        <v>11.898484643774822</v>
      </c>
      <c r="R18" s="21">
        <f>$D$5*$E$5*(1+Assumptions!$B$75)*IF(R16&lt;=0,0,INDEX(Assumptions!$B$57:$F$57,MIN(R16,5)))*8760*$F$5*(1+Assumptions!$B$71)^(Model!R3-1)*Assumptions!$B$80/1000000</f>
        <v>12.195946759869193</v>
      </c>
      <c r="S18" s="21">
        <f>$D$5*$E$5*(1+Assumptions!$B$75)*IF(S16&lt;=0,0,INDEX(Assumptions!$B$57:$F$57,MIN(S16,5)))*8760*$F$5*(1+Assumptions!$B$71)^(Model!S3-1)*Assumptions!$B$80/1000000</f>
        <v>12.500845428865924</v>
      </c>
      <c r="T18" s="21">
        <f>$D$5*$E$5*(1+Assumptions!$B$75)*IF(T16&lt;=0,0,INDEX(Assumptions!$B$57:$F$57,MIN(T16,5)))*8760*$F$5*(1+Assumptions!$B$71)^(Model!T3-1)*Assumptions!$B$80/1000000</f>
        <v>12.813366564587568</v>
      </c>
      <c r="U18" s="21">
        <f>$D$5*$E$5*(1+Assumptions!$B$75)*IF(U16&lt;=0,0,INDEX(Assumptions!$B$57:$F$57,MIN(U16,5)))*8760*$F$5*(1+Assumptions!$B$71)^(Model!U3-1)*Assumptions!$B$80/1000000</f>
        <v>13.133700728702259</v>
      </c>
      <c r="V18" s="21">
        <f>$D$5*$E$5*(1+Assumptions!$B$75)*IF(V16&lt;=0,0,INDEX(Assumptions!$B$57:$F$57,MIN(V16,5)))*8760*$F$5*(1+Assumptions!$B$71)^(Model!V3-1)*Assumptions!$B$80/1000000</f>
        <v>13.462043246919814</v>
      </c>
      <c r="W18" s="21">
        <f>$D$5*$E$5*(1+Assumptions!$B$75)*IF(W16&lt;=0,0,INDEX(Assumptions!$B$57:$F$57,MIN(W16,5)))*8760*$F$5*(1+Assumptions!$B$71)^(Model!W3-1)*Assumptions!$B$80/1000000</f>
        <v>13.798594328092811</v>
      </c>
      <c r="X18" s="21">
        <f>$D$5*$E$5*(1+Assumptions!$B$75)*IF(X16&lt;=0,0,INDEX(Assumptions!$B$57:$F$57,MIN(X16,5)))*8760*$F$5*(1+Assumptions!$B$71)^(Model!X3-1)*Assumptions!$B$80/1000000</f>
        <v>14.14355918629513</v>
      </c>
      <c r="Y18" s="21">
        <f>$D$5*$E$5*(1+Assumptions!$B$75)*IF(Y16&lt;=0,0,INDEX(Assumptions!$B$57:$F$57,MIN(Y16,5)))*8760*$F$5*(1+Assumptions!$B$71)^(Model!Y3-1)*Assumptions!$B$80/1000000</f>
        <v>14.497148165952506</v>
      </c>
      <c r="Z18" s="21">
        <f>$D$5*$E$5*(1+Assumptions!$B$75)*IF(Z16&lt;=0,0,INDEX(Assumptions!$B$57:$F$57,MIN(Z16,5)))*8760*$F$5*(1+Assumptions!$B$71)^(Model!Z3-1)*Assumptions!$B$80/1000000</f>
        <v>14.859576870101316</v>
      </c>
      <c r="AA18" s="21">
        <f>$D$5*$E$5*(1+Assumptions!$B$75)*IF(AA16&lt;=0,0,INDEX(Assumptions!$B$57:$F$57,MIN(AA16,5)))*8760*$F$5*(1+Assumptions!$B$71)^(Model!AA3-1)*Assumptions!$B$80/1000000</f>
        <v>15.231066291853852</v>
      </c>
      <c r="AB18" s="21">
        <f>$D$5*$E$5*(1+Assumptions!$B$75)*IF(AB16&lt;=0,0,INDEX(Assumptions!$B$57:$F$57,MIN(AB16,5)))*8760*$F$5*(1+Assumptions!$B$71)^(Model!AB3-1)*Assumptions!$B$80/1000000</f>
        <v>15.611842949150198</v>
      </c>
      <c r="AC18" s="21">
        <f>$D$5*$E$5*(1+Assumptions!$B$75)*IF(AC16&lt;=0,0,INDEX(Assumptions!$B$57:$F$57,MIN(AC16,5)))*8760*$F$5*(1+Assumptions!$B$71)^(Model!AC3-1)*Assumptions!$B$80/1000000</f>
        <v>16.002139022878946</v>
      </c>
      <c r="AD18" s="21">
        <f>$D$5*$E$5*(1+Assumptions!$B$75)*IF(AD16&lt;=0,0,INDEX(Assumptions!$B$57:$F$57,MIN(AD16,5)))*8760*$F$5*(1+Assumptions!$B$71)^(Model!AD3-1)*Assumptions!$B$80/1000000</f>
        <v>16.402192498450923</v>
      </c>
      <c r="AE18" s="21">
        <f>$D$5*$E$5*(1+Assumptions!$B$75)*IF(AE16&lt;=0,0,INDEX(Assumptions!$B$57:$F$57,MIN(AE16,5)))*8760*$F$5*(1+Assumptions!$B$71)^(Model!AE3-1)*Assumptions!$B$80/1000000</f>
        <v>16.812247310912191</v>
      </c>
      <c r="AF18" s="21">
        <f>$D$5*$E$5*(1+Assumptions!$B$75)*IF(AF16&lt;=0,0,INDEX(Assumptions!$B$57:$F$57,MIN(AF16,5)))*8760*$F$5*(1+Assumptions!$B$71)^(Model!AF3-1)*Assumptions!$B$80/1000000</f>
        <v>17.232553493684996</v>
      </c>
      <c r="AG18" s="21">
        <f>$D$5*$E$5*(1+Assumptions!$B$75)*IF(AG16&lt;=0,0,INDEX(Assumptions!$B$57:$F$57,MIN(AG16,5)))*8760*$F$5*(1+Assumptions!$B$71)^(Model!AG3-1)*Assumptions!$B$80/1000000</f>
        <v>17.663367331027125</v>
      </c>
    </row>
    <row r="19" spans="1:33" ht="15" customHeight="1" x14ac:dyDescent="0.3">
      <c r="A19" s="9" t="s">
        <v>314</v>
      </c>
      <c r="D19" s="21">
        <f>$G$5*(IF(D16&lt;=0,0,IF(D16&lt;=5,$H$5/5*D16,IF(D16&lt;=10,$H$5+($I$5-$H$5)*(D16-5)/5,$I$5))))*365*(1+Assumptions!$B$75)*$J$5*(1+Assumptions!$B$71)^(Model!D3-1)*Assumptions!$B$80/1000000</f>
        <v>0</v>
      </c>
      <c r="E19" s="21">
        <f>$G$5*(IF(E16&lt;=0,0,IF(E16&lt;=5,$H$5/5*E16,IF(E16&lt;=10,$H$5+($I$5-$H$5)*(E16-5)/5,$I$5))))*365*(1+Assumptions!$B$75)*$J$5*(1+Assumptions!$B$71)^(Model!E3-1)*Assumptions!$B$80/1000000</f>
        <v>0</v>
      </c>
      <c r="F19" s="21">
        <f>$G$5*(IF(F16&lt;=0,0,IF(F16&lt;=5,$H$5/5*F16,IF(F16&lt;=10,$H$5+($I$5-$H$5)*(F16-5)/5,$I$5))))*365*(1+Assumptions!$B$75)*$J$5*(1+Assumptions!$B$71)^(Model!F3-1)*Assumptions!$B$80/1000000</f>
        <v>9.0596707031249987E-2</v>
      </c>
      <c r="G19" s="21">
        <f>$G$5*(IF(G16&lt;=0,0,IF(G16&lt;=5,$H$5/5*G16,IF(G16&lt;=10,$H$5+($I$5-$H$5)*(G16-5)/5,$I$5))))*365*(1+Assumptions!$B$75)*$J$5*(1+Assumptions!$B$71)^(Model!G3-1)*Assumptions!$B$80/1000000</f>
        <v>0.18572324941406249</v>
      </c>
      <c r="H19" s="21">
        <f>$G$5*(IF(H16&lt;=0,0,IF(H16&lt;=5,$H$5/5*H16,IF(H16&lt;=10,$H$5+($I$5-$H$5)*(H16-5)/5,$I$5))))*365*(1+Assumptions!$B$75)*$J$5*(1+Assumptions!$B$71)^(Model!H3-1)*Assumptions!$B$80/1000000</f>
        <v>0.28554949597412105</v>
      </c>
      <c r="I19" s="21">
        <f>$G$5*(IF(I16&lt;=0,0,IF(I16&lt;=5,$H$5/5*I16,IF(I16&lt;=10,$H$5+($I$5-$H$5)*(I16-5)/5,$I$5))))*365*(1+Assumptions!$B$75)*$J$5*(1+Assumptions!$B$71)^(Model!I3-1)*Assumptions!$B$80/1000000</f>
        <v>0.3902509778312987</v>
      </c>
      <c r="J19" s="21">
        <f>$G$5*(IF(J16&lt;=0,0,IF(J16&lt;=5,$H$5/5*J16,IF(J16&lt;=10,$H$5+($I$5-$H$5)*(J16-5)/5,$I$5))))*365*(1+Assumptions!$B$75)*$J$5*(1+Assumptions!$B$71)^(Model!J3-1)*Assumptions!$B$80/1000000</f>
        <v>0.50000906534635137</v>
      </c>
      <c r="K19" s="21">
        <f>$G$5*(IF(K16&lt;=0,0,IF(K16&lt;=5,$H$5/5*K16,IF(K16&lt;=10,$H$5+($I$5-$H$5)*(K16-5)/5,$I$5))))*365*(1+Assumptions!$B$75)*$J$5*(1+Assumptions!$B$71)^(Model!K3-1)*Assumptions!$B$80/1000000</f>
        <v>0.56945476886667801</v>
      </c>
      <c r="L19" s="21">
        <f>$G$5*(IF(L16&lt;=0,0,IF(L16&lt;=5,$H$5/5*L16,IF(L16&lt;=10,$H$5+($I$5-$H$5)*(L16-5)/5,$I$5))))*365*(1+Assumptions!$B$75)*$J$5*(1+Assumptions!$B$71)^(Model!L3-1)*Assumptions!$B$80/1000000</f>
        <v>0.64206025189717952</v>
      </c>
      <c r="M19" s="21">
        <f>$G$5*(IF(M16&lt;=0,0,IF(M16&lt;=5,$H$5/5*M16,IF(M16&lt;=10,$H$5+($I$5-$H$5)*(M16-5)/5,$I$5))))*365*(1+Assumptions!$B$75)*$J$5*(1+Assumptions!$B$71)^(Model!M3-1)*Assumptions!$B$80/1000000</f>
        <v>0.71794009984866414</v>
      </c>
      <c r="N19" s="21">
        <f>$G$5*(IF(N16&lt;=0,0,IF(N16&lt;=5,$H$5/5*N16,IF(N16&lt;=10,$H$5+($I$5-$H$5)*(N16-5)/5,$I$5))))*365*(1+Assumptions!$B$75)*$J$5*(1+Assumptions!$B$71)^(Model!N3-1)*Assumptions!$B$80/1000000</f>
        <v>0.79721265254028739</v>
      </c>
      <c r="O19" s="21">
        <f>$G$5*(IF(O16&lt;=0,0,IF(O16&lt;=5,$H$5/5*O16,IF(O16&lt;=10,$H$5+($I$5-$H$5)*(O16-5)/5,$I$5))))*365*(1+Assumptions!$B$75)*$J$5*(1+Assumptions!$B$71)^(Model!O3-1)*Assumptions!$B$80/1000000</f>
        <v>0.88000012030408648</v>
      </c>
      <c r="P19" s="21">
        <f>$G$5*(IF(P16&lt;=0,0,IF(P16&lt;=5,$H$5/5*P16,IF(P16&lt;=10,$H$5+($I$5-$H$5)*(P16-5)/5,$I$5))))*365*(1+Assumptions!$B$75)*$J$5*(1+Assumptions!$B$71)^(Model!P3-1)*Assumptions!$B$80/1000000</f>
        <v>0.90200012331168855</v>
      </c>
      <c r="Q19" s="21">
        <f>$G$5*(IF(Q16&lt;=0,0,IF(Q16&lt;=5,$H$5/5*Q16,IF(Q16&lt;=10,$H$5+($I$5-$H$5)*(Q16-5)/5,$I$5))))*365*(1+Assumptions!$B$75)*$J$5*(1+Assumptions!$B$71)^(Model!Q3-1)*Assumptions!$B$80/1000000</f>
        <v>0.92455012639448086</v>
      </c>
      <c r="R19" s="21">
        <f>$G$5*(IF(R16&lt;=0,0,IF(R16&lt;=5,$H$5/5*R16,IF(R16&lt;=10,$H$5+($I$5-$H$5)*(R16-5)/5,$I$5))))*365*(1+Assumptions!$B$75)*$J$5*(1+Assumptions!$B$71)^(Model!R3-1)*Assumptions!$B$80/1000000</f>
        <v>0.94766387955434284</v>
      </c>
      <c r="S19" s="21">
        <f>$G$5*(IF(S16&lt;=0,0,IF(S16&lt;=5,$H$5/5*S16,IF(S16&lt;=10,$H$5+($I$5-$H$5)*(S16-5)/5,$I$5))))*365*(1+Assumptions!$B$75)*$J$5*(1+Assumptions!$B$71)^(Model!S3-1)*Assumptions!$B$80/1000000</f>
        <v>0.97135547654320153</v>
      </c>
      <c r="T19" s="21">
        <f>$G$5*(IF(T16&lt;=0,0,IF(T16&lt;=5,$H$5/5*T16,IF(T16&lt;=10,$H$5+($I$5-$H$5)*(T16-5)/5,$I$5))))*365*(1+Assumptions!$B$75)*$J$5*(1+Assumptions!$B$71)^(Model!T3-1)*Assumptions!$B$80/1000000</f>
        <v>0.99563936345678139</v>
      </c>
      <c r="U19" s="21">
        <f>$G$5*(IF(U16&lt;=0,0,IF(U16&lt;=5,$H$5/5*U16,IF(U16&lt;=10,$H$5+($I$5-$H$5)*(U16-5)/5,$I$5))))*365*(1+Assumptions!$B$75)*$J$5*(1+Assumptions!$B$71)^(Model!U3-1)*Assumptions!$B$80/1000000</f>
        <v>1.0205303475432008</v>
      </c>
      <c r="V19" s="21">
        <f>$G$5*(IF(V16&lt;=0,0,IF(V16&lt;=5,$H$5/5*V16,IF(V16&lt;=10,$H$5+($I$5-$H$5)*(V16-5)/5,$I$5))))*365*(1+Assumptions!$B$75)*$J$5*(1+Assumptions!$B$71)^(Model!V3-1)*Assumptions!$B$80/1000000</f>
        <v>1.0460436062317811</v>
      </c>
      <c r="W19" s="21">
        <f>$G$5*(IF(W16&lt;=0,0,IF(W16&lt;=5,$H$5/5*W16,IF(W16&lt;=10,$H$5+($I$5-$H$5)*(W16-5)/5,$I$5))))*365*(1+Assumptions!$B$75)*$J$5*(1+Assumptions!$B$71)^(Model!W3-1)*Assumptions!$B$80/1000000</f>
        <v>1.0721946963875755</v>
      </c>
      <c r="X19" s="21">
        <f>$G$5*(IF(X16&lt;=0,0,IF(X16&lt;=5,$H$5/5*X16,IF(X16&lt;=10,$H$5+($I$5-$H$5)*(X16-5)/5,$I$5))))*365*(1+Assumptions!$B$75)*$J$5*(1+Assumptions!$B$71)^(Model!X3-1)*Assumptions!$B$80/1000000</f>
        <v>1.0989995637972645</v>
      </c>
      <c r="Y19" s="21">
        <f>$G$5*(IF(Y16&lt;=0,0,IF(Y16&lt;=5,$H$5/5*Y16,IF(Y16&lt;=10,$H$5+($I$5-$H$5)*(Y16-5)/5,$I$5))))*365*(1+Assumptions!$B$75)*$J$5*(1+Assumptions!$B$71)^(Model!Y3-1)*Assumptions!$B$80/1000000</f>
        <v>1.126474552892196</v>
      </c>
      <c r="Z19" s="21">
        <f>$G$5*(IF(Z16&lt;=0,0,IF(Z16&lt;=5,$H$5/5*Z16,IF(Z16&lt;=10,$H$5+($I$5-$H$5)*(Z16-5)/5,$I$5))))*365*(1+Assumptions!$B$75)*$J$5*(1+Assumptions!$B$71)^(Model!Z3-1)*Assumptions!$B$80/1000000</f>
        <v>1.1546364167145009</v>
      </c>
      <c r="AA19" s="21">
        <f>$G$5*(IF(AA16&lt;=0,0,IF(AA16&lt;=5,$H$5/5*AA16,IF(AA16&lt;=10,$H$5+($I$5-$H$5)*(AA16-5)/5,$I$5))))*365*(1+Assumptions!$B$75)*$J$5*(1+Assumptions!$B$71)^(Model!AA3-1)*Assumptions!$B$80/1000000</f>
        <v>1.1835023271323635</v>
      </c>
      <c r="AB19" s="21">
        <f>$G$5*(IF(AB16&lt;=0,0,IF(AB16&lt;=5,$H$5/5*AB16,IF(AB16&lt;=10,$H$5+($I$5-$H$5)*(AB16-5)/5,$I$5))))*365*(1+Assumptions!$B$75)*$J$5*(1+Assumptions!$B$71)^(Model!AB3-1)*Assumptions!$B$80/1000000</f>
        <v>1.2130898853106726</v>
      </c>
      <c r="AC19" s="21">
        <f>$G$5*(IF(AC16&lt;=0,0,IF(AC16&lt;=5,$H$5/5*AC16,IF(AC16&lt;=10,$H$5+($I$5-$H$5)*(AC16-5)/5,$I$5))))*365*(1+Assumptions!$B$75)*$J$5*(1+Assumptions!$B$71)^(Model!AC3-1)*Assumptions!$B$80/1000000</f>
        <v>1.2434171324434393</v>
      </c>
      <c r="AD19" s="21">
        <f>$G$5*(IF(AD16&lt;=0,0,IF(AD16&lt;=5,$H$5/5*AD16,IF(AD16&lt;=10,$H$5+($I$5-$H$5)*(AD16-5)/5,$I$5))))*365*(1+Assumptions!$B$75)*$J$5*(1+Assumptions!$B$71)^(Model!AD3-1)*Assumptions!$B$80/1000000</f>
        <v>1.2745025607545251</v>
      </c>
      <c r="AE19" s="21">
        <f>$G$5*(IF(AE16&lt;=0,0,IF(AE16&lt;=5,$H$5/5*AE16,IF(AE16&lt;=10,$H$5+($I$5-$H$5)*(AE16-5)/5,$I$5))))*365*(1+Assumptions!$B$75)*$J$5*(1+Assumptions!$B$71)^(Model!AE3-1)*Assumptions!$B$80/1000000</f>
        <v>1.3063651247733883</v>
      </c>
      <c r="AF19" s="21">
        <f>$G$5*(IF(AF16&lt;=0,0,IF(AF16&lt;=5,$H$5/5*AF16,IF(AF16&lt;=10,$H$5+($I$5-$H$5)*(AF16-5)/5,$I$5))))*365*(1+Assumptions!$B$75)*$J$5*(1+Assumptions!$B$71)^(Model!AF3-1)*Assumptions!$B$80/1000000</f>
        <v>1.3390242528927228</v>
      </c>
      <c r="AG19" s="21">
        <f>$G$5*(IF(AG16&lt;=0,0,IF(AG16&lt;=5,$H$5/5*AG16,IF(AG16&lt;=10,$H$5+($I$5-$H$5)*(AG16-5)/5,$I$5))))*365*(1+Assumptions!$B$75)*$J$5*(1+Assumptions!$B$71)^(Model!AG3-1)*Assumptions!$B$80/1000000</f>
        <v>1.372499859215041</v>
      </c>
    </row>
    <row r="20" spans="1:33" ht="15" customHeight="1" x14ac:dyDescent="0.3">
      <c r="A20" s="9" t="s">
        <v>315</v>
      </c>
      <c r="D20" s="21">
        <f>$L$5*IF(D16&lt;=0,0,INDEX(Assumptions!$B$57:$F$57,MIN(D16,5)))*(1+Assumptions!$B$71)^(Model!D3-1)</f>
        <v>0</v>
      </c>
      <c r="E20" s="21">
        <f>$L$5*IF(E16&lt;=0,0,INDEX(Assumptions!$B$57:$F$57,MIN(E16,5)))*(1+Assumptions!$B$71)^(Model!E3-1)</f>
        <v>0</v>
      </c>
      <c r="F20" s="21">
        <f>$L$5*IF(F16&lt;=0,0,INDEX(Assumptions!$B$57:$F$57,MIN(F16,5)))*(1+Assumptions!$B$71)^(Model!F3-1)</f>
        <v>0.94556249999999986</v>
      </c>
      <c r="G20" s="21">
        <f>$L$5*IF(G16&lt;=0,0,INDEX(Assumptions!$B$57:$F$57,MIN(G16,5)))*(1+Assumptions!$B$71)^(Model!G3-1)</f>
        <v>1.1307351562499997</v>
      </c>
      <c r="H20" s="21">
        <f>$L$5*IF(H16&lt;=0,0,INDEX(Assumptions!$B$57:$F$57,MIN(H16,5)))*(1+Assumptions!$B$71)^(Model!H3-1)</f>
        <v>1.4073614355468747</v>
      </c>
      <c r="I20" s="21">
        <f>$L$5*IF(I16&lt;=0,0,INDEX(Assumptions!$B$57:$F$57,MIN(I16,5)))*(1+Assumptions!$B$71)^(Model!I3-1)</f>
        <v>1.61225670336914</v>
      </c>
      <c r="J20" s="21">
        <f>$L$5*IF(J16&lt;=0,0,INDEX(Assumptions!$B$57:$F$57,MIN(J16,5)))*(1+Assumptions!$B$71)^(Model!J3-1)</f>
        <v>1.7395401273193354</v>
      </c>
      <c r="K20" s="21">
        <f>$L$5*IF(K16&lt;=0,0,INDEX(Assumptions!$B$57:$F$57,MIN(K16,5)))*(1+Assumptions!$B$71)^(Model!K3-1)</f>
        <v>1.7830286305023186</v>
      </c>
      <c r="L20" s="21">
        <f>$L$5*IF(L16&lt;=0,0,INDEX(Assumptions!$B$57:$F$57,MIN(L16,5)))*(1+Assumptions!$B$71)^(Model!L3-1)</f>
        <v>1.8276043462648766</v>
      </c>
      <c r="M20" s="21">
        <f>$L$5*IF(M16&lt;=0,0,INDEX(Assumptions!$B$57:$F$57,MIN(M16,5)))*(1+Assumptions!$B$71)^(Model!M3-1)</f>
        <v>1.8732944549214983</v>
      </c>
      <c r="N20" s="21">
        <f>$L$5*IF(N16&lt;=0,0,INDEX(Assumptions!$B$57:$F$57,MIN(N16,5)))*(1+Assumptions!$B$71)^(Model!N3-1)</f>
        <v>1.9201268162945357</v>
      </c>
      <c r="O20" s="21">
        <f>$L$5*IF(O16&lt;=0,0,INDEX(Assumptions!$B$57:$F$57,MIN(O16,5)))*(1+Assumptions!$B$71)^(Model!O3-1)</f>
        <v>1.9681299867018991</v>
      </c>
      <c r="P20" s="21">
        <f>$L$5*IF(P16&lt;=0,0,INDEX(Assumptions!$B$57:$F$57,MIN(P16,5)))*(1+Assumptions!$B$71)^(Model!P3-1)</f>
        <v>2.0173332363694465</v>
      </c>
      <c r="Q20" s="21">
        <f>$L$5*IF(Q16&lt;=0,0,INDEX(Assumptions!$B$57:$F$57,MIN(Q16,5)))*(1+Assumptions!$B$71)^(Model!Q3-1)</f>
        <v>2.0677665672786825</v>
      </c>
      <c r="R20" s="21">
        <f>$L$5*IF(R16&lt;=0,0,INDEX(Assumptions!$B$57:$F$57,MIN(R16,5)))*(1+Assumptions!$B$71)^(Model!R3-1)</f>
        <v>2.1194607314606491</v>
      </c>
      <c r="S20" s="21">
        <f>$L$5*IF(S16&lt;=0,0,INDEX(Assumptions!$B$57:$F$57,MIN(S16,5)))*(1+Assumptions!$B$71)^(Model!S3-1)</f>
        <v>2.1724472497471656</v>
      </c>
      <c r="T20" s="21">
        <f>$L$5*IF(T16&lt;=0,0,INDEX(Assumptions!$B$57:$F$57,MIN(T16,5)))*(1+Assumptions!$B$71)^(Model!T3-1)</f>
        <v>2.2267584309908446</v>
      </c>
      <c r="U20" s="21">
        <f>$L$5*IF(U16&lt;=0,0,INDEX(Assumptions!$B$57:$F$57,MIN(U16,5)))*(1+Assumptions!$B$71)^(Model!U3-1)</f>
        <v>2.2824273917656157</v>
      </c>
      <c r="V20" s="21">
        <f>$L$5*IF(V16&lt;=0,0,INDEX(Assumptions!$B$57:$F$57,MIN(V16,5)))*(1+Assumptions!$B$71)^(Model!V3-1)</f>
        <v>2.3394880765597561</v>
      </c>
      <c r="W20" s="21">
        <f>$L$5*IF(W16&lt;=0,0,INDEX(Assumptions!$B$57:$F$57,MIN(W16,5)))*(1+Assumptions!$B$71)^(Model!W3-1)</f>
        <v>2.39797527847375</v>
      </c>
      <c r="X20" s="21">
        <f>$L$5*IF(X16&lt;=0,0,INDEX(Assumptions!$B$57:$F$57,MIN(X16,5)))*(1+Assumptions!$B$71)^(Model!X3-1)</f>
        <v>2.4579246604355935</v>
      </c>
      <c r="Y20" s="21">
        <f>$L$5*IF(Y16&lt;=0,0,INDEX(Assumptions!$B$57:$F$57,MIN(Y16,5)))*(1+Assumptions!$B$71)^(Model!Y3-1)</f>
        <v>2.5193727769464829</v>
      </c>
      <c r="Z20" s="21">
        <f>$L$5*IF(Z16&lt;=0,0,INDEX(Assumptions!$B$57:$F$57,MIN(Z16,5)))*(1+Assumptions!$B$71)^(Model!Z3-1)</f>
        <v>2.5823570963701448</v>
      </c>
      <c r="AA20" s="21">
        <f>$L$5*IF(AA16&lt;=0,0,INDEX(Assumptions!$B$57:$F$57,MIN(AA16,5)))*(1+Assumptions!$B$71)^(Model!AA3-1)</f>
        <v>2.6469160237793985</v>
      </c>
      <c r="AB20" s="21">
        <f>$L$5*IF(AB16&lt;=0,0,INDEX(Assumptions!$B$57:$F$57,MIN(AB16,5)))*(1+Assumptions!$B$71)^(Model!AB3-1)</f>
        <v>2.7130889243738832</v>
      </c>
      <c r="AC20" s="21">
        <f>$L$5*IF(AC16&lt;=0,0,INDEX(Assumptions!$B$57:$F$57,MIN(AC16,5)))*(1+Assumptions!$B$71)^(Model!AC3-1)</f>
        <v>2.78091614748323</v>
      </c>
      <c r="AD20" s="21">
        <f>$L$5*IF(AD16&lt;=0,0,INDEX(Assumptions!$B$57:$F$57,MIN(AD16,5)))*(1+Assumptions!$B$71)^(Model!AD3-1)</f>
        <v>2.8504390511703104</v>
      </c>
      <c r="AE20" s="21">
        <f>$L$5*IF(AE16&lt;=0,0,INDEX(Assumptions!$B$57:$F$57,MIN(AE16,5)))*(1+Assumptions!$B$71)^(Model!AE3-1)</f>
        <v>2.9217000274495684</v>
      </c>
      <c r="AF20" s="21">
        <f>$L$5*IF(AF16&lt;=0,0,INDEX(Assumptions!$B$57:$F$57,MIN(AF16,5)))*(1+Assumptions!$B$71)^(Model!AF3-1)</f>
        <v>2.9947425281358071</v>
      </c>
      <c r="AG20" s="21">
        <f>$L$5*IF(AG16&lt;=0,0,INDEX(Assumptions!$B$57:$F$57,MIN(AG16,5)))*(1+Assumptions!$B$71)^(Model!AG3-1)</f>
        <v>3.069611091339203</v>
      </c>
    </row>
    <row r="21" spans="1:33" ht="15" customHeight="1" x14ac:dyDescent="0.3">
      <c r="A21" s="9" t="s">
        <v>316</v>
      </c>
      <c r="D21" s="21">
        <f>IF(D16&gt;0,$K$5*(1+Assumptions!$B$71)^(Model!D3-1),0)</f>
        <v>0</v>
      </c>
      <c r="E21" s="21">
        <f>IF(E16&gt;0,$K$5*(1+Assumptions!$B$71)^(Model!E3-1),0)</f>
        <v>0</v>
      </c>
      <c r="F21" s="21">
        <f>IF(F16&gt;0,$K$5*(1+Assumptions!$B$71)^(Model!F3-1),0)</f>
        <v>12.607499999999998</v>
      </c>
      <c r="G21" s="21">
        <f>IF(G16&gt;0,$K$5*(1+Assumptions!$B$71)^(Model!G3-1),0)</f>
        <v>12.922687499999999</v>
      </c>
      <c r="H21" s="21">
        <f>IF(H16&gt;0,$K$5*(1+Assumptions!$B$71)^(Model!H3-1),0)</f>
        <v>13.245754687499996</v>
      </c>
      <c r="I21" s="21">
        <f>IF(I16&gt;0,$K$5*(1+Assumptions!$B$71)^(Model!I3-1),0)</f>
        <v>13.576898554687496</v>
      </c>
      <c r="J21" s="21">
        <f>IF(J16&gt;0,$K$5*(1+Assumptions!$B$71)^(Model!J3-1),0)</f>
        <v>13.916321018554683</v>
      </c>
      <c r="K21" s="21">
        <f>IF(K16&gt;0,$K$5*(1+Assumptions!$B$71)^(Model!K3-1),0)</f>
        <v>14.264229044018549</v>
      </c>
      <c r="L21" s="21">
        <f>IF(L16&gt;0,$K$5*(1+Assumptions!$B$71)^(Model!L3-1),0)</f>
        <v>14.620834770119012</v>
      </c>
      <c r="M21" s="21">
        <f>IF(M16&gt;0,$K$5*(1+Assumptions!$B$71)^(Model!M3-1),0)</f>
        <v>14.986355639371986</v>
      </c>
      <c r="N21" s="21">
        <f>IF(N16&gt;0,$K$5*(1+Assumptions!$B$71)^(Model!N3-1),0)</f>
        <v>15.361014530356286</v>
      </c>
      <c r="O21" s="21">
        <f>IF(O16&gt;0,$K$5*(1+Assumptions!$B$71)^(Model!O3-1),0)</f>
        <v>15.745039893615193</v>
      </c>
      <c r="P21" s="21">
        <f>IF(P16&gt;0,$K$5*(1+Assumptions!$B$71)^(Model!P3-1),0)</f>
        <v>16.138665890955572</v>
      </c>
      <c r="Q21" s="21">
        <f>IF(Q16&gt;0,$K$5*(1+Assumptions!$B$71)^(Model!Q3-1),0)</f>
        <v>16.54213253822946</v>
      </c>
      <c r="R21" s="21">
        <f>IF(R16&gt;0,$K$5*(1+Assumptions!$B$71)^(Model!R3-1),0)</f>
        <v>16.955685851685192</v>
      </c>
      <c r="S21" s="21">
        <f>IF(S16&gt;0,$K$5*(1+Assumptions!$B$71)^(Model!S3-1),0)</f>
        <v>17.379577997977325</v>
      </c>
      <c r="T21" s="21">
        <f>IF(T16&gt;0,$K$5*(1+Assumptions!$B$71)^(Model!T3-1),0)</f>
        <v>17.814067447926757</v>
      </c>
      <c r="U21" s="21">
        <f>IF(U16&gt;0,$K$5*(1+Assumptions!$B$71)^(Model!U3-1),0)</f>
        <v>18.259419134124926</v>
      </c>
      <c r="V21" s="21">
        <f>IF(V16&gt;0,$K$5*(1+Assumptions!$B$71)^(Model!V3-1),0)</f>
        <v>18.715904612478049</v>
      </c>
      <c r="W21" s="21">
        <f>IF(W16&gt;0,$K$5*(1+Assumptions!$B$71)^(Model!W3-1),0)</f>
        <v>19.18380222779</v>
      </c>
      <c r="X21" s="21">
        <f>IF(X16&gt;0,$K$5*(1+Assumptions!$B$71)^(Model!X3-1),0)</f>
        <v>19.663397283484748</v>
      </c>
      <c r="Y21" s="21">
        <f>IF(Y16&gt;0,$K$5*(1+Assumptions!$B$71)^(Model!Y3-1),0)</f>
        <v>20.154982215571863</v>
      </c>
      <c r="Z21" s="21">
        <f>IF(Z16&gt;0,$K$5*(1+Assumptions!$B$71)^(Model!Z3-1),0)</f>
        <v>20.658856770961158</v>
      </c>
      <c r="AA21" s="21">
        <f>IF(AA16&gt;0,$K$5*(1+Assumptions!$B$71)^(Model!AA3-1),0)</f>
        <v>21.175328190235188</v>
      </c>
      <c r="AB21" s="21">
        <f>IF(AB16&gt;0,$K$5*(1+Assumptions!$B$71)^(Model!AB3-1),0)</f>
        <v>21.704711394991065</v>
      </c>
      <c r="AC21" s="21">
        <f>IF(AC16&gt;0,$K$5*(1+Assumptions!$B$71)^(Model!AC3-1),0)</f>
        <v>22.24732917986584</v>
      </c>
      <c r="AD21" s="21">
        <f>IF(AD16&gt;0,$K$5*(1+Assumptions!$B$71)^(Model!AD3-1),0)</f>
        <v>22.803512409362483</v>
      </c>
      <c r="AE21" s="21">
        <f>IF(AE16&gt;0,$K$5*(1+Assumptions!$B$71)^(Model!AE3-1),0)</f>
        <v>23.373600219596547</v>
      </c>
      <c r="AF21" s="21">
        <f>IF(AF16&gt;0,$K$5*(1+Assumptions!$B$71)^(Model!AF3-1),0)</f>
        <v>23.957940225086457</v>
      </c>
      <c r="AG21" s="21">
        <f>IF(AG16&gt;0,$K$5*(1+Assumptions!$B$71)^(Model!AG3-1),0)</f>
        <v>24.556888730713624</v>
      </c>
    </row>
    <row r="23" spans="1:33" ht="15" customHeight="1" x14ac:dyDescent="0.3">
      <c r="A23" s="9" t="s">
        <v>317</v>
      </c>
      <c r="D23" s="9">
        <f>IF(Model!D3&gt;=$C$6,Model!D3-$C$6+1,0)</f>
        <v>0</v>
      </c>
      <c r="E23" s="9">
        <f>IF(Model!E3&gt;=$C$6,Model!E3-$C$6+1,0)</f>
        <v>0</v>
      </c>
      <c r="F23" s="9">
        <f>IF(Model!F3&gt;=$C$6,Model!F3-$C$6+1,0)</f>
        <v>0</v>
      </c>
      <c r="G23" s="9">
        <f>IF(Model!G3&gt;=$C$6,Model!G3-$C$6+1,0)</f>
        <v>1</v>
      </c>
      <c r="H23" s="9">
        <f>IF(Model!H3&gt;=$C$6,Model!H3-$C$6+1,0)</f>
        <v>2</v>
      </c>
      <c r="I23" s="9">
        <f>IF(Model!I3&gt;=$C$6,Model!I3-$C$6+1,0)</f>
        <v>3</v>
      </c>
      <c r="J23" s="9">
        <f>IF(Model!J3&gt;=$C$6,Model!J3-$C$6+1,0)</f>
        <v>4</v>
      </c>
      <c r="K23" s="9">
        <f>IF(Model!K3&gt;=$C$6,Model!K3-$C$6+1,0)</f>
        <v>5</v>
      </c>
      <c r="L23" s="9">
        <f>IF(Model!L3&gt;=$C$6,Model!L3-$C$6+1,0)</f>
        <v>6</v>
      </c>
      <c r="M23" s="9">
        <f>IF(Model!M3&gt;=$C$6,Model!M3-$C$6+1,0)</f>
        <v>7</v>
      </c>
      <c r="N23" s="9">
        <f>IF(Model!N3&gt;=$C$6,Model!N3-$C$6+1,0)</f>
        <v>8</v>
      </c>
      <c r="O23" s="9">
        <f>IF(Model!O3&gt;=$C$6,Model!O3-$C$6+1,0)</f>
        <v>9</v>
      </c>
      <c r="P23" s="9">
        <f>IF(Model!P3&gt;=$C$6,Model!P3-$C$6+1,0)</f>
        <v>10</v>
      </c>
      <c r="Q23" s="9">
        <f>IF(Model!Q3&gt;=$C$6,Model!Q3-$C$6+1,0)</f>
        <v>11</v>
      </c>
      <c r="R23" s="9">
        <f>IF(Model!R3&gt;=$C$6,Model!R3-$C$6+1,0)</f>
        <v>12</v>
      </c>
      <c r="S23" s="9">
        <f>IF(Model!S3&gt;=$C$6,Model!S3-$C$6+1,0)</f>
        <v>13</v>
      </c>
      <c r="T23" s="9">
        <f>IF(Model!T3&gt;=$C$6,Model!T3-$C$6+1,0)</f>
        <v>14</v>
      </c>
      <c r="U23" s="9">
        <f>IF(Model!U3&gt;=$C$6,Model!U3-$C$6+1,0)</f>
        <v>15</v>
      </c>
      <c r="V23" s="9">
        <f>IF(Model!V3&gt;=$C$6,Model!V3-$C$6+1,0)</f>
        <v>16</v>
      </c>
      <c r="W23" s="9">
        <f>IF(Model!W3&gt;=$C$6,Model!W3-$C$6+1,0)</f>
        <v>17</v>
      </c>
      <c r="X23" s="9">
        <f>IF(Model!X3&gt;=$C$6,Model!X3-$C$6+1,0)</f>
        <v>18</v>
      </c>
      <c r="Y23" s="9">
        <f>IF(Model!Y3&gt;=$C$6,Model!Y3-$C$6+1,0)</f>
        <v>19</v>
      </c>
      <c r="Z23" s="9">
        <f>IF(Model!Z3&gt;=$C$6,Model!Z3-$C$6+1,0)</f>
        <v>20</v>
      </c>
      <c r="AA23" s="9">
        <f>IF(Model!AA3&gt;=$C$6,Model!AA3-$C$6+1,0)</f>
        <v>21</v>
      </c>
      <c r="AB23" s="9">
        <f>IF(Model!AB3&gt;=$C$6,Model!AB3-$C$6+1,0)</f>
        <v>22</v>
      </c>
      <c r="AC23" s="9">
        <f>IF(Model!AC3&gt;=$C$6,Model!AC3-$C$6+1,0)</f>
        <v>23</v>
      </c>
      <c r="AD23" s="9">
        <f>IF(Model!AD3&gt;=$C$6,Model!AD3-$C$6+1,0)</f>
        <v>24</v>
      </c>
      <c r="AE23" s="9">
        <f>IF(Model!AE3&gt;=$C$6,Model!AE3-$C$6+1,0)</f>
        <v>25</v>
      </c>
      <c r="AF23" s="9">
        <f>IF(Model!AF3&gt;=$C$6,Model!AF3-$C$6+1,0)</f>
        <v>26</v>
      </c>
      <c r="AG23" s="9">
        <f>IF(Model!AG3&gt;=$C$6,Model!AG3-$C$6+1,0)</f>
        <v>27</v>
      </c>
    </row>
    <row r="24" spans="1:33" ht="15" customHeight="1" x14ac:dyDescent="0.3">
      <c r="A24" s="9" t="s">
        <v>318</v>
      </c>
      <c r="D24" s="21">
        <f>IF(Model!D3&lt;=4,$B$6*INDEX(Assumptions!$B$24:$E$24,Model!D3),0)*(1+Assumptions!$B$76)</f>
        <v>1.8</v>
      </c>
      <c r="E24" s="21">
        <f>IF(Model!E3&lt;=4,$B$6*INDEX(Assumptions!$B$24:$E$24,Model!E3),0)*(1+Assumptions!$B$76)</f>
        <v>5.3999999999999995</v>
      </c>
      <c r="F24" s="21">
        <f>IF(Model!F3&lt;=4,$B$6*INDEX(Assumptions!$B$24:$E$24,Model!F3),0)*(1+Assumptions!$B$76)</f>
        <v>7.2</v>
      </c>
      <c r="G24" s="21">
        <f>IF(Model!G3&lt;=4,$B$6*INDEX(Assumptions!$B$24:$E$24,Model!G3),0)*(1+Assumptions!$B$76)</f>
        <v>3.6</v>
      </c>
      <c r="H24" s="21">
        <f>IF(Model!H3&lt;=4,$B$6*INDEX(Assumptions!$B$24:$E$24,Model!H3),0)*(1+Assumptions!$B$76)</f>
        <v>0</v>
      </c>
      <c r="I24" s="21">
        <f>IF(Model!I3&lt;=4,$B$6*INDEX(Assumptions!$B$24:$E$24,Model!I3),0)*(1+Assumptions!$B$76)</f>
        <v>0</v>
      </c>
      <c r="J24" s="21">
        <f>IF(Model!J3&lt;=4,$B$6*INDEX(Assumptions!$B$24:$E$24,Model!J3),0)*(1+Assumptions!$B$76)</f>
        <v>0</v>
      </c>
      <c r="K24" s="21">
        <f>IF(Model!K3&lt;=4,$B$6*INDEX(Assumptions!$B$24:$E$24,Model!K3),0)*(1+Assumptions!$B$76)</f>
        <v>0</v>
      </c>
      <c r="L24" s="21">
        <f>IF(Model!L3&lt;=4,$B$6*INDEX(Assumptions!$B$24:$E$24,Model!L3),0)*(1+Assumptions!$B$76)</f>
        <v>0</v>
      </c>
      <c r="M24" s="21">
        <f>IF(Model!M3&lt;=4,$B$6*INDEX(Assumptions!$B$24:$E$24,Model!M3),0)*(1+Assumptions!$B$76)</f>
        <v>0</v>
      </c>
      <c r="N24" s="21">
        <f>IF(Model!N3&lt;=4,$B$6*INDEX(Assumptions!$B$24:$E$24,Model!N3),0)*(1+Assumptions!$B$76)</f>
        <v>0</v>
      </c>
      <c r="O24" s="21">
        <f>IF(Model!O3&lt;=4,$B$6*INDEX(Assumptions!$B$24:$E$24,Model!O3),0)*(1+Assumptions!$B$76)</f>
        <v>0</v>
      </c>
      <c r="P24" s="21">
        <f>IF(Model!P3&lt;=4,$B$6*INDEX(Assumptions!$B$24:$E$24,Model!P3),0)*(1+Assumptions!$B$76)</f>
        <v>0</v>
      </c>
      <c r="Q24" s="21">
        <f>IF(Model!Q3&lt;=4,$B$6*INDEX(Assumptions!$B$24:$E$24,Model!Q3),0)*(1+Assumptions!$B$76)</f>
        <v>0</v>
      </c>
      <c r="R24" s="21">
        <f>IF(Model!R3&lt;=4,$B$6*INDEX(Assumptions!$B$24:$E$24,Model!R3),0)*(1+Assumptions!$B$76)</f>
        <v>0</v>
      </c>
      <c r="S24" s="21">
        <f>IF(Model!S3&lt;=4,$B$6*INDEX(Assumptions!$B$24:$E$24,Model!S3),0)*(1+Assumptions!$B$76)</f>
        <v>0</v>
      </c>
      <c r="T24" s="21">
        <f>IF(Model!T3&lt;=4,$B$6*INDEX(Assumptions!$B$24:$E$24,Model!T3),0)*(1+Assumptions!$B$76)</f>
        <v>0</v>
      </c>
      <c r="U24" s="21">
        <f>IF(Model!U3&lt;=4,$B$6*INDEX(Assumptions!$B$24:$E$24,Model!U3),0)*(1+Assumptions!$B$76)</f>
        <v>0</v>
      </c>
      <c r="V24" s="21">
        <f>IF(Model!V3&lt;=4,$B$6*INDEX(Assumptions!$B$24:$E$24,Model!V3),0)*(1+Assumptions!$B$76)</f>
        <v>0</v>
      </c>
      <c r="W24" s="21">
        <f>IF(Model!W3&lt;=4,$B$6*INDEX(Assumptions!$B$24:$E$24,Model!W3),0)*(1+Assumptions!$B$76)</f>
        <v>0</v>
      </c>
      <c r="X24" s="21">
        <f>IF(Model!X3&lt;=4,$B$6*INDEX(Assumptions!$B$24:$E$24,Model!X3),0)*(1+Assumptions!$B$76)</f>
        <v>0</v>
      </c>
      <c r="Y24" s="21">
        <f>IF(Model!Y3&lt;=4,$B$6*INDEX(Assumptions!$B$24:$E$24,Model!Y3),0)*(1+Assumptions!$B$76)</f>
        <v>0</v>
      </c>
      <c r="Z24" s="21">
        <f>IF(Model!Z3&lt;=4,$B$6*INDEX(Assumptions!$B$24:$E$24,Model!Z3),0)*(1+Assumptions!$B$76)</f>
        <v>0</v>
      </c>
      <c r="AA24" s="21">
        <f>IF(Model!AA3&lt;=4,$B$6*INDEX(Assumptions!$B$24:$E$24,Model!AA3),0)*(1+Assumptions!$B$76)</f>
        <v>0</v>
      </c>
      <c r="AB24" s="21">
        <f>IF(Model!AB3&lt;=4,$B$6*INDEX(Assumptions!$B$24:$E$24,Model!AB3),0)*(1+Assumptions!$B$76)</f>
        <v>0</v>
      </c>
      <c r="AC24" s="21">
        <f>IF(Model!AC3&lt;=4,$B$6*INDEX(Assumptions!$B$24:$E$24,Model!AC3),0)*(1+Assumptions!$B$76)</f>
        <v>0</v>
      </c>
      <c r="AD24" s="21">
        <f>IF(Model!AD3&lt;=4,$B$6*INDEX(Assumptions!$B$24:$E$24,Model!AD3),0)*(1+Assumptions!$B$76)</f>
        <v>0</v>
      </c>
      <c r="AE24" s="21">
        <f>IF(Model!AE3&lt;=4,$B$6*INDEX(Assumptions!$B$24:$E$24,Model!AE3),0)*(1+Assumptions!$B$76)</f>
        <v>0</v>
      </c>
      <c r="AF24" s="21">
        <f>IF(Model!AF3&lt;=4,$B$6*INDEX(Assumptions!$B$24:$E$24,Model!AF3),0)*(1+Assumptions!$B$76)</f>
        <v>0</v>
      </c>
      <c r="AG24" s="21">
        <f>IF(Model!AG3&lt;=4,$B$6*INDEX(Assumptions!$B$24:$E$24,Model!AG3),0)*(1+Assumptions!$B$76)</f>
        <v>0</v>
      </c>
    </row>
    <row r="25" spans="1:33" ht="15" customHeight="1" x14ac:dyDescent="0.3">
      <c r="A25" s="9" t="s">
        <v>319</v>
      </c>
      <c r="D25" s="21">
        <f>$D$6*$E$6*(1+Assumptions!$B$75)*IF(D23&lt;=0,0,INDEX(Assumptions!$B$57:$F$57,MIN(D23,5)))*8760*$F$6*(1+Assumptions!$B$71)^(Model!D3-1)*Assumptions!$B$80/1000000</f>
        <v>0</v>
      </c>
      <c r="E25" s="21">
        <f>$D$6*$E$6*(1+Assumptions!$B$75)*IF(E23&lt;=0,0,INDEX(Assumptions!$B$57:$F$57,MIN(E23,5)))*8760*$F$6*(1+Assumptions!$B$71)^(Model!E3-1)*Assumptions!$B$80/1000000</f>
        <v>0</v>
      </c>
      <c r="F25" s="21">
        <f>$D$6*$E$6*(1+Assumptions!$B$75)*IF(F23&lt;=0,0,INDEX(Assumptions!$B$57:$F$57,MIN(F23,5)))*8760*$F$6*(1+Assumptions!$B$71)^(Model!F3-1)*Assumptions!$B$80/1000000</f>
        <v>0</v>
      </c>
      <c r="G25" s="21">
        <f>$D$6*$E$6*(1+Assumptions!$B$75)*IF(G23&lt;=0,0,INDEX(Assumptions!$B$57:$F$57,MIN(G23,5)))*8760*$F$6*(1+Assumptions!$B$71)^(Model!G3-1)*Assumptions!$B$80/1000000</f>
        <v>1.9600488850162494</v>
      </c>
      <c r="H25" s="21">
        <f>$D$6*$E$6*(1+Assumptions!$B$75)*IF(H23&lt;=0,0,INDEX(Assumptions!$B$57:$F$57,MIN(H23,5)))*8760*$F$6*(1+Assumptions!$B$71)^(Model!H3-1)*Assumptions!$B$80/1000000</f>
        <v>2.3438917916652646</v>
      </c>
      <c r="I25" s="21">
        <f>$D$6*$E$6*(1+Assumptions!$B$75)*IF(I23&lt;=0,0,INDEX(Assumptions!$B$57:$F$57,MIN(I23,5)))*8760*$F$6*(1+Assumptions!$B$71)^(Model!I3-1)*Assumptions!$B$80/1000000</f>
        <v>2.9173081764119453</v>
      </c>
      <c r="J25" s="21">
        <f>$D$6*$E$6*(1+Assumptions!$B$75)*IF(J23&lt;=0,0,INDEX(Assumptions!$B$57:$F$57,MIN(J23,5)))*8760*$F$6*(1+Assumptions!$B$71)^(Model!J3-1)*Assumptions!$B$80/1000000</f>
        <v>3.3420339256248606</v>
      </c>
      <c r="K25" s="21">
        <f>$D$6*$E$6*(1+Assumptions!$B$75)*IF(K23&lt;=0,0,INDEX(Assumptions!$B$57:$F$57,MIN(K23,5)))*8760*$F$6*(1+Assumptions!$B$71)^(Model!K3-1)*Assumptions!$B$80/1000000</f>
        <v>3.6058787092268241</v>
      </c>
      <c r="L25" s="21">
        <f>$D$6*$E$6*(1+Assumptions!$B$75)*IF(L23&lt;=0,0,INDEX(Assumptions!$B$57:$F$57,MIN(L23,5)))*8760*$F$6*(1+Assumptions!$B$71)^(Model!L3-1)*Assumptions!$B$80/1000000</f>
        <v>3.6960256769574942</v>
      </c>
      <c r="M25" s="21">
        <f>$D$6*$E$6*(1+Assumptions!$B$75)*IF(M23&lt;=0,0,INDEX(Assumptions!$B$57:$F$57,MIN(M23,5)))*8760*$F$6*(1+Assumptions!$B$71)^(Model!M3-1)*Assumptions!$B$80/1000000</f>
        <v>3.7884263188814313</v>
      </c>
      <c r="N25" s="21">
        <f>$D$6*$E$6*(1+Assumptions!$B$75)*IF(N23&lt;=0,0,INDEX(Assumptions!$B$57:$F$57,MIN(N23,5)))*8760*$F$6*(1+Assumptions!$B$71)^(Model!N3-1)*Assumptions!$B$80/1000000</f>
        <v>3.8831369768534665</v>
      </c>
      <c r="O25" s="21">
        <f>$D$6*$E$6*(1+Assumptions!$B$75)*IF(O23&lt;=0,0,INDEX(Assumptions!$B$57:$F$57,MIN(O23,5)))*8760*$F$6*(1+Assumptions!$B$71)^(Model!O3-1)*Assumptions!$B$80/1000000</f>
        <v>3.980215401274803</v>
      </c>
      <c r="P25" s="21">
        <f>$D$6*$E$6*(1+Assumptions!$B$75)*IF(P23&lt;=0,0,INDEX(Assumptions!$B$57:$F$57,MIN(P23,5)))*8760*$F$6*(1+Assumptions!$B$71)^(Model!P3-1)*Assumptions!$B$80/1000000</f>
        <v>4.0797207863066731</v>
      </c>
      <c r="Q25" s="21">
        <f>$D$6*$E$6*(1+Assumptions!$B$75)*IF(Q23&lt;=0,0,INDEX(Assumptions!$B$57:$F$57,MIN(Q23,5)))*8760*$F$6*(1+Assumptions!$B$71)^(Model!Q3-1)*Assumptions!$B$80/1000000</f>
        <v>4.1817138059643399</v>
      </c>
      <c r="R25" s="21">
        <f>$D$6*$E$6*(1+Assumptions!$B$75)*IF(R23&lt;=0,0,INDEX(Assumptions!$B$57:$F$57,MIN(R23,5)))*8760*$F$6*(1+Assumptions!$B$71)^(Model!R3-1)*Assumptions!$B$80/1000000</f>
        <v>4.2862566511134474</v>
      </c>
      <c r="S25" s="21">
        <f>$D$6*$E$6*(1+Assumptions!$B$75)*IF(S23&lt;=0,0,INDEX(Assumptions!$B$57:$F$57,MIN(S23,5)))*8760*$F$6*(1+Assumptions!$B$71)^(Model!S3-1)*Assumptions!$B$80/1000000</f>
        <v>4.3934130673912843</v>
      </c>
      <c r="T25" s="21">
        <f>$D$6*$E$6*(1+Assumptions!$B$75)*IF(T23&lt;=0,0,INDEX(Assumptions!$B$57:$F$57,MIN(T23,5)))*8760*$F$6*(1+Assumptions!$B$71)^(Model!T3-1)*Assumptions!$B$80/1000000</f>
        <v>4.503248394076067</v>
      </c>
      <c r="U25" s="21">
        <f>$D$6*$E$6*(1+Assumptions!$B$75)*IF(U23&lt;=0,0,INDEX(Assumptions!$B$57:$F$57,MIN(U23,5)))*8760*$F$6*(1+Assumptions!$B$71)^(Model!U3-1)*Assumptions!$B$80/1000000</f>
        <v>4.6158296039279669</v>
      </c>
      <c r="V25" s="21">
        <f>$D$6*$E$6*(1+Assumptions!$B$75)*IF(V23&lt;=0,0,INDEX(Assumptions!$B$57:$F$57,MIN(V23,5)))*8760*$F$6*(1+Assumptions!$B$71)^(Model!V3-1)*Assumptions!$B$80/1000000</f>
        <v>4.7312253440261669</v>
      </c>
      <c r="W25" s="21">
        <f>$D$6*$E$6*(1+Assumptions!$B$75)*IF(W23&lt;=0,0,INDEX(Assumptions!$B$57:$F$57,MIN(W23,5)))*8760*$F$6*(1+Assumptions!$B$71)^(Model!W3-1)*Assumptions!$B$80/1000000</f>
        <v>4.849505977626821</v>
      </c>
      <c r="X25" s="21">
        <f>$D$6*$E$6*(1+Assumptions!$B$75)*IF(X23&lt;=0,0,INDEX(Assumptions!$B$57:$F$57,MIN(X23,5)))*8760*$F$6*(1+Assumptions!$B$71)^(Model!X3-1)*Assumptions!$B$80/1000000</f>
        <v>4.9707436270674901</v>
      </c>
      <c r="Y25" s="21">
        <f>$D$6*$E$6*(1+Assumptions!$B$75)*IF(Y23&lt;=0,0,INDEX(Assumptions!$B$57:$F$57,MIN(Y23,5)))*8760*$F$6*(1+Assumptions!$B$71)^(Model!Y3-1)*Assumptions!$B$80/1000000</f>
        <v>5.0950122177441779</v>
      </c>
      <c r="Z25" s="21">
        <f>$D$6*$E$6*(1+Assumptions!$B$75)*IF(Z23&lt;=0,0,INDEX(Assumptions!$B$57:$F$57,MIN(Z23,5)))*8760*$F$6*(1+Assumptions!$B$71)^(Model!Z3-1)*Assumptions!$B$80/1000000</f>
        <v>5.2223875231877814</v>
      </c>
      <c r="AA25" s="21">
        <f>$D$6*$E$6*(1+Assumptions!$B$75)*IF(AA23&lt;=0,0,INDEX(Assumptions!$B$57:$F$57,MIN(AA23,5)))*8760*$F$6*(1+Assumptions!$B$71)^(Model!AA3-1)*Assumptions!$B$80/1000000</f>
        <v>5.3529472112674767</v>
      </c>
      <c r="AB25" s="21">
        <f>$D$6*$E$6*(1+Assumptions!$B$75)*IF(AB23&lt;=0,0,INDEX(Assumptions!$B$57:$F$57,MIN(AB23,5)))*8760*$F$6*(1+Assumptions!$B$71)^(Model!AB3-1)*Assumptions!$B$80/1000000</f>
        <v>5.4867708915491633</v>
      </c>
      <c r="AC25" s="21">
        <f>$D$6*$E$6*(1+Assumptions!$B$75)*IF(AC23&lt;=0,0,INDEX(Assumptions!$B$57:$F$57,MIN(AC23,5)))*8760*$F$6*(1+Assumptions!$B$71)^(Model!AC3-1)*Assumptions!$B$80/1000000</f>
        <v>5.623940163837891</v>
      </c>
      <c r="AD25" s="21">
        <f>$D$6*$E$6*(1+Assumptions!$B$75)*IF(AD23&lt;=0,0,INDEX(Assumptions!$B$57:$F$57,MIN(AD23,5)))*8760*$F$6*(1+Assumptions!$B$71)^(Model!AD3-1)*Assumptions!$B$80/1000000</f>
        <v>5.7645386679338388</v>
      </c>
      <c r="AE25" s="21">
        <f>$D$6*$E$6*(1+Assumptions!$B$75)*IF(AE23&lt;=0,0,INDEX(Assumptions!$B$57:$F$57,MIN(AE23,5)))*8760*$F$6*(1+Assumptions!$B$71)^(Model!AE3-1)*Assumptions!$B$80/1000000</f>
        <v>5.9086521346321845</v>
      </c>
      <c r="AF25" s="21">
        <f>$D$6*$E$6*(1+Assumptions!$B$75)*IF(AF23&lt;=0,0,INDEX(Assumptions!$B$57:$F$57,MIN(AF23,5)))*8760*$F$6*(1+Assumptions!$B$71)^(Model!AF3-1)*Assumptions!$B$80/1000000</f>
        <v>6.0563684379979881</v>
      </c>
      <c r="AG25" s="21">
        <f>$D$6*$E$6*(1+Assumptions!$B$75)*IF(AG23&lt;=0,0,INDEX(Assumptions!$B$57:$F$57,MIN(AG23,5)))*8760*$F$6*(1+Assumptions!$B$71)^(Model!AG3-1)*Assumptions!$B$80/1000000</f>
        <v>6.2077776489479382</v>
      </c>
    </row>
    <row r="26" spans="1:33" ht="15" customHeight="1" x14ac:dyDescent="0.3">
      <c r="A26" s="9" t="s">
        <v>320</v>
      </c>
      <c r="D26" s="21">
        <f>$G$6*(IF(D23&lt;=0,0,IF(D23&lt;=5,$H$6/5*D23,IF(D23&lt;=10,$H$6+($I$6-$H$6)*(D23-5)/5,$I$6))))*365*(1+Assumptions!$B$75)*$J$6*(1+Assumptions!$B$71)^(Model!D3-1)*Assumptions!$B$80/1000000</f>
        <v>0</v>
      </c>
      <c r="E26" s="21">
        <f>$G$6*(IF(E23&lt;=0,0,IF(E23&lt;=5,$H$6/5*E23,IF(E23&lt;=10,$H$6+($I$6-$H$6)*(E23-5)/5,$I$6))))*365*(1+Assumptions!$B$75)*$J$6*(1+Assumptions!$B$71)^(Model!E3-1)*Assumptions!$B$80/1000000</f>
        <v>0</v>
      </c>
      <c r="F26" s="21">
        <f>$G$6*(IF(F23&lt;=0,0,IF(F23&lt;=5,$H$6/5*F23,IF(F23&lt;=10,$H$6+($I$6-$H$6)*(F23-5)/5,$I$6))))*365*(1+Assumptions!$B$75)*$J$6*(1+Assumptions!$B$71)^(Model!F3-1)*Assumptions!$B$80/1000000</f>
        <v>0</v>
      </c>
      <c r="G26" s="21">
        <f>$G$6*(IF(G23&lt;=0,0,IF(G23&lt;=5,$H$6/5*G23,IF(G23&lt;=10,$H$6+($I$6-$H$6)*(G23-5)/5,$I$6))))*365*(1+Assumptions!$B$75)*$J$6*(1+Assumptions!$B$71)^(Model!G3-1)*Assumptions!$B$80/1000000</f>
        <v>6.2733186468749993E-2</v>
      </c>
      <c r="H26" s="21">
        <f>$G$6*(IF(H23&lt;=0,0,IF(H23&lt;=5,$H$6/5*H23,IF(H23&lt;=10,$H$6+($I$6-$H$6)*(H23-5)/5,$I$6))))*365*(1+Assumptions!$B$75)*$J$6*(1+Assumptions!$B$71)^(Model!H3-1)*Assumptions!$B$80/1000000</f>
        <v>0.12860303226093747</v>
      </c>
      <c r="I26" s="21">
        <f>$G$6*(IF(I23&lt;=0,0,IF(I23&lt;=5,$H$6/5*I23,IF(I23&lt;=10,$H$6+($I$6-$H$6)*(I23-5)/5,$I$6))))*365*(1+Assumptions!$B$75)*$J$6*(1+Assumptions!$B$71)^(Model!I3-1)*Assumptions!$B$80/1000000</f>
        <v>0.19772716210119129</v>
      </c>
      <c r="J26" s="21">
        <f>$G$6*(IF(J23&lt;=0,0,IF(J23&lt;=5,$H$6/5*J23,IF(J23&lt;=10,$H$6+($I$6-$H$6)*(J23-5)/5,$I$6))))*365*(1+Assumptions!$B$75)*$J$6*(1+Assumptions!$B$71)^(Model!J3-1)*Assumptions!$B$80/1000000</f>
        <v>0.27022712153829476</v>
      </c>
      <c r="K26" s="21">
        <f>$G$6*(IF(K23&lt;=0,0,IF(K23&lt;=5,$H$6/5*K23,IF(K23&lt;=10,$H$6+($I$6-$H$6)*(K23-5)/5,$I$6))))*365*(1+Assumptions!$B$75)*$J$6*(1+Assumptions!$B$71)^(Model!K3-1)*Assumptions!$B$80/1000000</f>
        <v>0.3462284994709402</v>
      </c>
      <c r="L26" s="21">
        <f>$G$6*(IF(L23&lt;=0,0,IF(L23&lt;=5,$H$6/5*L23,IF(L23&lt;=10,$H$6+($I$6-$H$6)*(L23-5)/5,$I$6))))*365*(1+Assumptions!$B$75)*$J$6*(1+Assumptions!$B$71)^(Model!L3-1)*Assumptions!$B$80/1000000</f>
        <v>0.39924473845242803</v>
      </c>
      <c r="M26" s="21">
        <f>$G$6*(IF(M23&lt;=0,0,IF(M23&lt;=5,$H$6/5*M23,IF(M23&lt;=10,$H$6+($I$6-$H$6)*(M23-5)/5,$I$6))))*365*(1+Assumptions!$B$75)*$J$6*(1+Assumptions!$B$71)^(Model!M3-1)*Assumptions!$B$80/1000000</f>
        <v>0.45469539657082059</v>
      </c>
      <c r="N26" s="21">
        <f>$G$6*(IF(N23&lt;=0,0,IF(N23&lt;=5,$H$6/5*N23,IF(N23&lt;=10,$H$6+($I$6-$H$6)*(N23-5)/5,$I$6))))*365*(1+Assumptions!$B$75)*$J$6*(1+Assumptions!$B$71)^(Model!N3-1)*Assumptions!$B$80/1000000</f>
        <v>0.51266905963360032</v>
      </c>
      <c r="O26" s="21">
        <f>$G$6*(IF(O23&lt;=0,0,IF(O23&lt;=5,$H$6/5*O23,IF(O23&lt;=10,$H$6+($I$6-$H$6)*(O23-5)/5,$I$6))))*365*(1+Assumptions!$B$75)*$J$6*(1+Assumptions!$B$71)^(Model!O3-1)*Assumptions!$B$80/1000000</f>
        <v>0.57325722122666223</v>
      </c>
      <c r="P26" s="21">
        <f>$G$6*(IF(P23&lt;=0,0,IF(P23&lt;=5,$H$6/5*P23,IF(P23&lt;=10,$H$6+($I$6-$H$6)*(P23-5)/5,$I$6))))*365*(1+Assumptions!$B$75)*$J$6*(1+Assumptions!$B$71)^(Model!P3-1)*Assumptions!$B$80/1000000</f>
        <v>0.63655437273710602</v>
      </c>
      <c r="Q26" s="21">
        <f>$G$6*(IF(Q23&lt;=0,0,IF(Q23&lt;=5,$H$6/5*Q23,IF(Q23&lt;=10,$H$6+($I$6-$H$6)*(Q23-5)/5,$I$6))))*365*(1+Assumptions!$B$75)*$J$6*(1+Assumptions!$B$71)^(Model!Q3-1)*Assumptions!$B$80/1000000</f>
        <v>0.65246823205553361</v>
      </c>
      <c r="R26" s="21">
        <f>$G$6*(IF(R23&lt;=0,0,IF(R23&lt;=5,$H$6/5*R23,IF(R23&lt;=10,$H$6+($I$6-$H$6)*(R23-5)/5,$I$6))))*365*(1+Assumptions!$B$75)*$J$6*(1+Assumptions!$B$71)^(Model!R3-1)*Assumptions!$B$80/1000000</f>
        <v>0.66877993785692191</v>
      </c>
      <c r="S26" s="21">
        <f>$G$6*(IF(S23&lt;=0,0,IF(S23&lt;=5,$H$6/5*S23,IF(S23&lt;=10,$H$6+($I$6-$H$6)*(S23-5)/5,$I$6))))*365*(1+Assumptions!$B$75)*$J$6*(1+Assumptions!$B$71)^(Model!S3-1)*Assumptions!$B$80/1000000</f>
        <v>0.68549943630334498</v>
      </c>
      <c r="T26" s="21">
        <f>$G$6*(IF(T23&lt;=0,0,IF(T23&lt;=5,$H$6/5*T23,IF(T23&lt;=10,$H$6+($I$6-$H$6)*(T23-5)/5,$I$6))))*365*(1+Assumptions!$B$75)*$J$6*(1+Assumptions!$B$71)^(Model!T3-1)*Assumptions!$B$80/1000000</f>
        <v>0.70263692221092855</v>
      </c>
      <c r="U26" s="21">
        <f>$G$6*(IF(U23&lt;=0,0,IF(U23&lt;=5,$H$6/5*U23,IF(U23&lt;=10,$H$6+($I$6-$H$6)*(U23-5)/5,$I$6))))*365*(1+Assumptions!$B$75)*$J$6*(1+Assumptions!$B$71)^(Model!U3-1)*Assumptions!$B$80/1000000</f>
        <v>0.72020284526620182</v>
      </c>
      <c r="V26" s="21">
        <f>$G$6*(IF(V23&lt;=0,0,IF(V23&lt;=5,$H$6/5*V23,IF(V23&lt;=10,$H$6+($I$6-$H$6)*(V23-5)/5,$I$6))))*365*(1+Assumptions!$B$75)*$J$6*(1+Assumptions!$B$71)^(Model!V3-1)*Assumptions!$B$80/1000000</f>
        <v>0.73820791639785677</v>
      </c>
      <c r="W26" s="21">
        <f>$G$6*(IF(W23&lt;=0,0,IF(W23&lt;=5,$H$6/5*W23,IF(W23&lt;=10,$H$6+($I$6-$H$6)*(W23-5)/5,$I$6))))*365*(1+Assumptions!$B$75)*$J$6*(1+Assumptions!$B$71)^(Model!W3-1)*Assumptions!$B$80/1000000</f>
        <v>0.7566631143078032</v>
      </c>
      <c r="X26" s="21">
        <f>$G$6*(IF(X23&lt;=0,0,IF(X23&lt;=5,$H$6/5*X23,IF(X23&lt;=10,$H$6+($I$6-$H$6)*(X23-5)/5,$I$6))))*365*(1+Assumptions!$B$75)*$J$6*(1+Assumptions!$B$71)^(Model!X3-1)*Assumptions!$B$80/1000000</f>
        <v>0.77557969216549816</v>
      </c>
      <c r="Y26" s="21">
        <f>$G$6*(IF(Y23&lt;=0,0,IF(Y23&lt;=5,$H$6/5*Y23,IF(Y23&lt;=10,$H$6+($I$6-$H$6)*(Y23-5)/5,$I$6))))*365*(1+Assumptions!$B$75)*$J$6*(1+Assumptions!$B$71)^(Model!Y3-1)*Assumptions!$B$80/1000000</f>
        <v>0.7949691844696356</v>
      </c>
      <c r="Z26" s="21">
        <f>$G$6*(IF(Z23&lt;=0,0,IF(Z23&lt;=5,$H$6/5*Z23,IF(Z23&lt;=10,$H$6+($I$6-$H$6)*(Z23-5)/5,$I$6))))*365*(1+Assumptions!$B$75)*$J$6*(1+Assumptions!$B$71)^(Model!Z3-1)*Assumptions!$B$80/1000000</f>
        <v>0.8148434140813765</v>
      </c>
      <c r="AA26" s="21">
        <f>$G$6*(IF(AA23&lt;=0,0,IF(AA23&lt;=5,$H$6/5*AA23,IF(AA23&lt;=10,$H$6+($I$6-$H$6)*(AA23-5)/5,$I$6))))*365*(1+Assumptions!$B$75)*$J$6*(1+Assumptions!$B$71)^(Model!AA3-1)*Assumptions!$B$80/1000000</f>
        <v>0.83521449943341097</v>
      </c>
      <c r="AB26" s="21">
        <f>$G$6*(IF(AB23&lt;=0,0,IF(AB23&lt;=5,$H$6/5*AB23,IF(AB23&lt;=10,$H$6+($I$6-$H$6)*(AB23-5)/5,$I$6))))*365*(1+Assumptions!$B$75)*$J$6*(1+Assumptions!$B$71)^(Model!AB3-1)*Assumptions!$B$80/1000000</f>
        <v>0.856094861919246</v>
      </c>
      <c r="AC26" s="21">
        <f>$G$6*(IF(AC23&lt;=0,0,IF(AC23&lt;=5,$H$6/5*AC23,IF(AC23&lt;=10,$H$6+($I$6-$H$6)*(AC23-5)/5,$I$6))))*365*(1+Assumptions!$B$75)*$J$6*(1+Assumptions!$B$71)^(Model!AC3-1)*Assumptions!$B$80/1000000</f>
        <v>0.87749723346722708</v>
      </c>
      <c r="AD26" s="21">
        <f>$G$6*(IF(AD23&lt;=0,0,IF(AD23&lt;=5,$H$6/5*AD23,IF(AD23&lt;=10,$H$6+($I$6-$H$6)*(AD23-5)/5,$I$6))))*365*(1+Assumptions!$B$75)*$J$6*(1+Assumptions!$B$71)^(Model!AD3-1)*Assumptions!$B$80/1000000</f>
        <v>0.89943466430390773</v>
      </c>
      <c r="AE26" s="21">
        <f>$G$6*(IF(AE23&lt;=0,0,IF(AE23&lt;=5,$H$6/5*AE23,IF(AE23&lt;=10,$H$6+($I$6-$H$6)*(AE23-5)/5,$I$6))))*365*(1+Assumptions!$B$75)*$J$6*(1+Assumptions!$B$71)^(Model!AE3-1)*Assumptions!$B$80/1000000</f>
        <v>0.92192053091150539</v>
      </c>
      <c r="AF26" s="21">
        <f>$G$6*(IF(AF23&lt;=0,0,IF(AF23&lt;=5,$H$6/5*AF23,IF(AF23&lt;=10,$H$6+($I$6-$H$6)*(AF23-5)/5,$I$6))))*365*(1+Assumptions!$B$75)*$J$6*(1+Assumptions!$B$71)^(Model!AF3-1)*Assumptions!$B$80/1000000</f>
        <v>0.94496854418429299</v>
      </c>
      <c r="AG26" s="21">
        <f>$G$6*(IF(AG23&lt;=0,0,IF(AG23&lt;=5,$H$6/5*AG23,IF(AG23&lt;=10,$H$6+($I$6-$H$6)*(AG23-5)/5,$I$6))))*365*(1+Assumptions!$B$75)*$J$6*(1+Assumptions!$B$71)^(Model!AG3-1)*Assumptions!$B$80/1000000</f>
        <v>0.96859275778890042</v>
      </c>
    </row>
    <row r="27" spans="1:33" ht="15" customHeight="1" x14ac:dyDescent="0.3">
      <c r="A27" s="9" t="s">
        <v>321</v>
      </c>
      <c r="D27" s="21">
        <f>$L$6*IF(D23&lt;=0,0,INDEX(Assumptions!$B$57:$F$57,MIN(D23,5)))*(1+Assumptions!$B$71)^(Model!D3-1)</f>
        <v>0</v>
      </c>
      <c r="E27" s="21">
        <f>$L$6*IF(E23&lt;=0,0,INDEX(Assumptions!$B$57:$F$57,MIN(E23,5)))*(1+Assumptions!$B$71)^(Model!E3-1)</f>
        <v>0</v>
      </c>
      <c r="F27" s="21">
        <f>$L$6*IF(F23&lt;=0,0,INDEX(Assumptions!$B$57:$F$57,MIN(F23,5)))*(1+Assumptions!$B$71)^(Model!F3-1)</f>
        <v>0</v>
      </c>
      <c r="G27" s="21">
        <f>$L$6*IF(G23&lt;=0,0,INDEX(Assumptions!$B$57:$F$57,MIN(G23,5)))*(1+Assumptions!$B$71)^(Model!G3-1)</f>
        <v>0.34891256249999997</v>
      </c>
      <c r="H27" s="21">
        <f>$L$6*IF(H23&lt;=0,0,INDEX(Assumptions!$B$57:$F$57,MIN(H23,5)))*(1+Assumptions!$B$71)^(Model!H3-1)</f>
        <v>0.41724127265624994</v>
      </c>
      <c r="I27" s="21">
        <f>$L$6*IF(I23&lt;=0,0,INDEX(Assumptions!$B$57:$F$57,MIN(I23,5)))*(1+Assumptions!$B$71)^(Model!I3-1)</f>
        <v>0.51931636971679673</v>
      </c>
      <c r="J27" s="21">
        <f>$L$6*IF(J23&lt;=0,0,INDEX(Assumptions!$B$57:$F$57,MIN(J23,5)))*(1+Assumptions!$B$71)^(Model!J3-1)</f>
        <v>0.59492272354321263</v>
      </c>
      <c r="K27" s="21">
        <f>$L$6*IF(K23&lt;=0,0,INDEX(Assumptions!$B$57:$F$57,MIN(K23,5)))*(1+Assumptions!$B$71)^(Model!K3-1)</f>
        <v>0.64189030698083482</v>
      </c>
      <c r="L27" s="21">
        <f>$L$6*IF(L23&lt;=0,0,INDEX(Assumptions!$B$57:$F$57,MIN(L23,5)))*(1+Assumptions!$B$71)^(Model!L3-1)</f>
        <v>0.65793756465535558</v>
      </c>
      <c r="M27" s="21">
        <f>$L$6*IF(M23&lt;=0,0,INDEX(Assumptions!$B$57:$F$57,MIN(M23,5)))*(1+Assumptions!$B$71)^(Model!M3-1)</f>
        <v>0.67438600377173941</v>
      </c>
      <c r="N27" s="21">
        <f>$L$6*IF(N23&lt;=0,0,INDEX(Assumptions!$B$57:$F$57,MIN(N23,5)))*(1+Assumptions!$B$71)^(Model!N3-1)</f>
        <v>0.69124565386603287</v>
      </c>
      <c r="O27" s="21">
        <f>$L$6*IF(O23&lt;=0,0,INDEX(Assumptions!$B$57:$F$57,MIN(O23,5)))*(1+Assumptions!$B$71)^(Model!O3-1)</f>
        <v>0.70852679521268369</v>
      </c>
      <c r="P27" s="21">
        <f>$L$6*IF(P23&lt;=0,0,INDEX(Assumptions!$B$57:$F$57,MIN(P23,5)))*(1+Assumptions!$B$71)^(Model!P3-1)</f>
        <v>0.72623996509300071</v>
      </c>
      <c r="Q27" s="21">
        <f>$L$6*IF(Q23&lt;=0,0,INDEX(Assumptions!$B$57:$F$57,MIN(Q23,5)))*(1+Assumptions!$B$71)^(Model!Q3-1)</f>
        <v>0.74439596422032572</v>
      </c>
      <c r="R27" s="21">
        <f>$L$6*IF(R23&lt;=0,0,INDEX(Assumptions!$B$57:$F$57,MIN(R23,5)))*(1+Assumptions!$B$71)^(Model!R3-1)</f>
        <v>0.76300586332583376</v>
      </c>
      <c r="S27" s="21">
        <f>$L$6*IF(S23&lt;=0,0,INDEX(Assumptions!$B$57:$F$57,MIN(S23,5)))*(1+Assumptions!$B$71)^(Model!S3-1)</f>
        <v>0.78208100990897977</v>
      </c>
      <c r="T27" s="21">
        <f>$L$6*IF(T23&lt;=0,0,INDEX(Assumptions!$B$57:$F$57,MIN(T23,5)))*(1+Assumptions!$B$71)^(Model!T3-1)</f>
        <v>0.80163303515670414</v>
      </c>
      <c r="U27" s="21">
        <f>$L$6*IF(U23&lt;=0,0,INDEX(Assumptions!$B$57:$F$57,MIN(U23,5)))*(1+Assumptions!$B$71)^(Model!U3-1)</f>
        <v>0.82167386103562168</v>
      </c>
      <c r="V27" s="21">
        <f>$L$6*IF(V23&lt;=0,0,INDEX(Assumptions!$B$57:$F$57,MIN(V23,5)))*(1+Assumptions!$B$71)^(Model!V3-1)</f>
        <v>0.84221570756151221</v>
      </c>
      <c r="W27" s="21">
        <f>$L$6*IF(W23&lt;=0,0,INDEX(Assumptions!$B$57:$F$57,MIN(W23,5)))*(1+Assumptions!$B$71)^(Model!W3-1)</f>
        <v>0.86327110025054998</v>
      </c>
      <c r="X27" s="21">
        <f>$L$6*IF(X23&lt;=0,0,INDEX(Assumptions!$B$57:$F$57,MIN(X23,5)))*(1+Assumptions!$B$71)^(Model!X3-1)</f>
        <v>0.88485287775681365</v>
      </c>
      <c r="Y27" s="21">
        <f>$L$6*IF(Y23&lt;=0,0,INDEX(Assumptions!$B$57:$F$57,MIN(Y23,5)))*(1+Assumptions!$B$71)^(Model!Y3-1)</f>
        <v>0.9069741997007339</v>
      </c>
      <c r="Z27" s="21">
        <f>$L$6*IF(Z23&lt;=0,0,INDEX(Assumptions!$B$57:$F$57,MIN(Z23,5)))*(1+Assumptions!$B$71)^(Model!Z3-1)</f>
        <v>0.92964855469325225</v>
      </c>
      <c r="AA27" s="21">
        <f>$L$6*IF(AA23&lt;=0,0,INDEX(Assumptions!$B$57:$F$57,MIN(AA23,5)))*(1+Assumptions!$B$71)^(Model!AA3-1)</f>
        <v>0.95288976856058361</v>
      </c>
      <c r="AB27" s="21">
        <f>$L$6*IF(AB23&lt;=0,0,INDEX(Assumptions!$B$57:$F$57,MIN(AB23,5)))*(1+Assumptions!$B$71)^(Model!AB3-1)</f>
        <v>0.97671201277459807</v>
      </c>
      <c r="AC27" s="21">
        <f>$L$6*IF(AC23&lt;=0,0,INDEX(Assumptions!$B$57:$F$57,MIN(AC23,5)))*(1+Assumptions!$B$71)^(Model!AC3-1)</f>
        <v>1.0011298130939628</v>
      </c>
      <c r="AD27" s="21">
        <f>$L$6*IF(AD23&lt;=0,0,INDEX(Assumptions!$B$57:$F$57,MIN(AD23,5)))*(1+Assumptions!$B$71)^(Model!AD3-1)</f>
        <v>1.0261580584213119</v>
      </c>
      <c r="AE27" s="21">
        <f>$L$6*IF(AE23&lt;=0,0,INDEX(Assumptions!$B$57:$F$57,MIN(AE23,5)))*(1+Assumptions!$B$71)^(Model!AE3-1)</f>
        <v>1.0518120098818446</v>
      </c>
      <c r="AF27" s="21">
        <f>$L$6*IF(AF23&lt;=0,0,INDEX(Assumptions!$B$57:$F$57,MIN(AF23,5)))*(1+Assumptions!$B$71)^(Model!AF3-1)</f>
        <v>1.0781073101288907</v>
      </c>
      <c r="AG27" s="21">
        <f>$L$6*IF(AG23&lt;=0,0,INDEX(Assumptions!$B$57:$F$57,MIN(AG23,5)))*(1+Assumptions!$B$71)^(Model!AG3-1)</f>
        <v>1.105059992882113</v>
      </c>
    </row>
    <row r="28" spans="1:33" ht="15" customHeight="1" x14ac:dyDescent="0.3">
      <c r="A28" s="9" t="s">
        <v>322</v>
      </c>
      <c r="D28" s="21">
        <f>IF(D23&gt;0,$K$6*(1+Assumptions!$B$71)^(Model!D3-1),0)</f>
        <v>0</v>
      </c>
      <c r="E28" s="21">
        <f>IF(E23&gt;0,$K$6*(1+Assumptions!$B$71)^(Model!E3-1),0)</f>
        <v>0</v>
      </c>
      <c r="F28" s="21">
        <f>IF(F23&gt;0,$K$6*(1+Assumptions!$B$71)^(Model!F3-1),0)</f>
        <v>0</v>
      </c>
      <c r="G28" s="21">
        <f>IF(G23&gt;0,$K$6*(1+Assumptions!$B$71)^(Model!G3-1),0)</f>
        <v>4.3377154374999991</v>
      </c>
      <c r="H28" s="21">
        <f>IF(H23&gt;0,$K$6*(1+Assumptions!$B$71)^(Model!H3-1),0)</f>
        <v>4.4461583234374986</v>
      </c>
      <c r="I28" s="21">
        <f>IF(I23&gt;0,$K$6*(1+Assumptions!$B$71)^(Model!I3-1),0)</f>
        <v>4.5573122815234353</v>
      </c>
      <c r="J28" s="21">
        <f>IF(J23&gt;0,$K$6*(1+Assumptions!$B$71)^(Model!J3-1),0)</f>
        <v>4.6712450885615215</v>
      </c>
      <c r="K28" s="21">
        <f>IF(K23&gt;0,$K$6*(1+Assumptions!$B$71)^(Model!K3-1),0)</f>
        <v>4.7880262157755595</v>
      </c>
      <c r="L28" s="21">
        <f>IF(L23&gt;0,$K$6*(1+Assumptions!$B$71)^(Model!L3-1),0)</f>
        <v>4.907726871169948</v>
      </c>
      <c r="M28" s="21">
        <f>IF(M23&gt;0,$K$6*(1+Assumptions!$B$71)^(Model!M3-1),0)</f>
        <v>5.0304200429491956</v>
      </c>
      <c r="N28" s="21">
        <f>IF(N23&gt;0,$K$6*(1+Assumptions!$B$71)^(Model!N3-1),0)</f>
        <v>5.1561805440229262</v>
      </c>
      <c r="O28" s="21">
        <f>IF(O23&gt;0,$K$6*(1+Assumptions!$B$71)^(Model!O3-1),0)</f>
        <v>5.2850850576234985</v>
      </c>
      <c r="P28" s="21">
        <f>IF(P23&gt;0,$K$6*(1+Assumptions!$B$71)^(Model!P3-1),0)</f>
        <v>5.4172121840640859</v>
      </c>
      <c r="Q28" s="21">
        <f>IF(Q23&gt;0,$K$6*(1+Assumptions!$B$71)^(Model!Q3-1),0)</f>
        <v>5.552642488665688</v>
      </c>
      <c r="R28" s="21">
        <f>IF(R23&gt;0,$K$6*(1+Assumptions!$B$71)^(Model!R3-1),0)</f>
        <v>5.691458550882329</v>
      </c>
      <c r="S28" s="21">
        <f>IF(S23&gt;0,$K$6*(1+Assumptions!$B$71)^(Model!S3-1),0)</f>
        <v>5.8337450146543883</v>
      </c>
      <c r="T28" s="21">
        <f>IF(T23&gt;0,$K$6*(1+Assumptions!$B$71)^(Model!T3-1),0)</f>
        <v>5.9795886400207481</v>
      </c>
      <c r="U28" s="21">
        <f>IF(U23&gt;0,$K$6*(1+Assumptions!$B$71)^(Model!U3-1),0)</f>
        <v>6.1290783560212656</v>
      </c>
      <c r="V28" s="21">
        <f>IF(V23&gt;0,$K$6*(1+Assumptions!$B$71)^(Model!V3-1),0)</f>
        <v>6.2823053149217971</v>
      </c>
      <c r="W28" s="21">
        <f>IF(W23&gt;0,$K$6*(1+Assumptions!$B$71)^(Model!W3-1),0)</f>
        <v>6.4393629477948426</v>
      </c>
      <c r="X28" s="21">
        <f>IF(X23&gt;0,$K$6*(1+Assumptions!$B$71)^(Model!X3-1),0)</f>
        <v>6.6003470214897124</v>
      </c>
      <c r="Y28" s="21">
        <f>IF(Y23&gt;0,$K$6*(1+Assumptions!$B$71)^(Model!Y3-1),0)</f>
        <v>6.7653556970269548</v>
      </c>
      <c r="Z28" s="21">
        <f>IF(Z23&gt;0,$K$6*(1+Assumptions!$B$71)^(Model!Z3-1),0)</f>
        <v>6.9344895894526282</v>
      </c>
      <c r="AA28" s="21">
        <f>IF(AA23&gt;0,$K$6*(1+Assumptions!$B$71)^(Model!AA3-1),0)</f>
        <v>7.1078518291889443</v>
      </c>
      <c r="AB28" s="21">
        <f>IF(AB23&gt;0,$K$6*(1+Assumptions!$B$71)^(Model!AB3-1),0)</f>
        <v>7.2855481249186678</v>
      </c>
      <c r="AC28" s="21">
        <f>IF(AC23&gt;0,$K$6*(1+Assumptions!$B$71)^(Model!AC3-1),0)</f>
        <v>7.4676868280416331</v>
      </c>
      <c r="AD28" s="21">
        <f>IF(AD23&gt;0,$K$6*(1+Assumptions!$B$71)^(Model!AD3-1),0)</f>
        <v>7.6543789987426729</v>
      </c>
      <c r="AE28" s="21">
        <f>IF(AE23&gt;0,$K$6*(1+Assumptions!$B$71)^(Model!AE3-1),0)</f>
        <v>7.8457384737112399</v>
      </c>
      <c r="AF28" s="21">
        <f>IF(AF23&gt;0,$K$6*(1+Assumptions!$B$71)^(Model!AF3-1),0)</f>
        <v>8.0418819355540201</v>
      </c>
      <c r="AG28" s="21">
        <f>IF(AG23&gt;0,$K$6*(1+Assumptions!$B$71)^(Model!AG3-1),0)</f>
        <v>8.2429289839428712</v>
      </c>
    </row>
    <row r="30" spans="1:33" ht="15" customHeight="1" x14ac:dyDescent="0.3">
      <c r="A30" s="9" t="s">
        <v>323</v>
      </c>
      <c r="D30" s="9">
        <f>IF(Model!D3&gt;=$C$7,Model!D3-$C$7+1,0)</f>
        <v>0</v>
      </c>
      <c r="E30" s="9">
        <f>IF(Model!E3&gt;=$C$7,Model!E3-$C$7+1,0)</f>
        <v>0</v>
      </c>
      <c r="F30" s="9">
        <f>IF(Model!F3&gt;=$C$7,Model!F3-$C$7+1,0)</f>
        <v>0</v>
      </c>
      <c r="G30" s="9">
        <f>IF(Model!G3&gt;=$C$7,Model!G3-$C$7+1,0)</f>
        <v>1</v>
      </c>
      <c r="H30" s="9">
        <f>IF(Model!H3&gt;=$C$7,Model!H3-$C$7+1,0)</f>
        <v>2</v>
      </c>
      <c r="I30" s="9">
        <f>IF(Model!I3&gt;=$C$7,Model!I3-$C$7+1,0)</f>
        <v>3</v>
      </c>
      <c r="J30" s="9">
        <f>IF(Model!J3&gt;=$C$7,Model!J3-$C$7+1,0)</f>
        <v>4</v>
      </c>
      <c r="K30" s="9">
        <f>IF(Model!K3&gt;=$C$7,Model!K3-$C$7+1,0)</f>
        <v>5</v>
      </c>
      <c r="L30" s="9">
        <f>IF(Model!L3&gt;=$C$7,Model!L3-$C$7+1,0)</f>
        <v>6</v>
      </c>
      <c r="M30" s="9">
        <f>IF(Model!M3&gt;=$C$7,Model!M3-$C$7+1,0)</f>
        <v>7</v>
      </c>
      <c r="N30" s="9">
        <f>IF(Model!N3&gt;=$C$7,Model!N3-$C$7+1,0)</f>
        <v>8</v>
      </c>
      <c r="O30" s="9">
        <f>IF(Model!O3&gt;=$C$7,Model!O3-$C$7+1,0)</f>
        <v>9</v>
      </c>
      <c r="P30" s="9">
        <f>IF(Model!P3&gt;=$C$7,Model!P3-$C$7+1,0)</f>
        <v>10</v>
      </c>
      <c r="Q30" s="9">
        <f>IF(Model!Q3&gt;=$C$7,Model!Q3-$C$7+1,0)</f>
        <v>11</v>
      </c>
      <c r="R30" s="9">
        <f>IF(Model!R3&gt;=$C$7,Model!R3-$C$7+1,0)</f>
        <v>12</v>
      </c>
      <c r="S30" s="9">
        <f>IF(Model!S3&gt;=$C$7,Model!S3-$C$7+1,0)</f>
        <v>13</v>
      </c>
      <c r="T30" s="9">
        <f>IF(Model!T3&gt;=$C$7,Model!T3-$C$7+1,0)</f>
        <v>14</v>
      </c>
      <c r="U30" s="9">
        <f>IF(Model!U3&gt;=$C$7,Model!U3-$C$7+1,0)</f>
        <v>15</v>
      </c>
      <c r="V30" s="9">
        <f>IF(Model!V3&gt;=$C$7,Model!V3-$C$7+1,0)</f>
        <v>16</v>
      </c>
      <c r="W30" s="9">
        <f>IF(Model!W3&gt;=$C$7,Model!W3-$C$7+1,0)</f>
        <v>17</v>
      </c>
      <c r="X30" s="9">
        <f>IF(Model!X3&gt;=$C$7,Model!X3-$C$7+1,0)</f>
        <v>18</v>
      </c>
      <c r="Y30" s="9">
        <f>IF(Model!Y3&gt;=$C$7,Model!Y3-$C$7+1,0)</f>
        <v>19</v>
      </c>
      <c r="Z30" s="9">
        <f>IF(Model!Z3&gt;=$C$7,Model!Z3-$C$7+1,0)</f>
        <v>20</v>
      </c>
      <c r="AA30" s="9">
        <f>IF(Model!AA3&gt;=$C$7,Model!AA3-$C$7+1,0)</f>
        <v>21</v>
      </c>
      <c r="AB30" s="9">
        <f>IF(Model!AB3&gt;=$C$7,Model!AB3-$C$7+1,0)</f>
        <v>22</v>
      </c>
      <c r="AC30" s="9">
        <f>IF(Model!AC3&gt;=$C$7,Model!AC3-$C$7+1,0)</f>
        <v>23</v>
      </c>
      <c r="AD30" s="9">
        <f>IF(Model!AD3&gt;=$C$7,Model!AD3-$C$7+1,0)</f>
        <v>24</v>
      </c>
      <c r="AE30" s="9">
        <f>IF(Model!AE3&gt;=$C$7,Model!AE3-$C$7+1,0)</f>
        <v>25</v>
      </c>
      <c r="AF30" s="9">
        <f>IF(Model!AF3&gt;=$C$7,Model!AF3-$C$7+1,0)</f>
        <v>26</v>
      </c>
      <c r="AG30" s="9">
        <f>IF(Model!AG3&gt;=$C$7,Model!AG3-$C$7+1,0)</f>
        <v>27</v>
      </c>
    </row>
    <row r="31" spans="1:33" ht="15" customHeight="1" x14ac:dyDescent="0.3">
      <c r="A31" s="9" t="s">
        <v>324</v>
      </c>
      <c r="D31" s="21">
        <f>IF(Model!D3&lt;=4,$B$7*INDEX(Assumptions!$B$24:$E$24,Model!D3),0)*(1+Assumptions!$B$76)</f>
        <v>1.6</v>
      </c>
      <c r="E31" s="21">
        <f>IF(Model!E3&lt;=4,$B$7*INDEX(Assumptions!$B$24:$E$24,Model!E3),0)*(1+Assumptions!$B$76)</f>
        <v>4.8</v>
      </c>
      <c r="F31" s="21">
        <f>IF(Model!F3&lt;=4,$B$7*INDEX(Assumptions!$B$24:$E$24,Model!F3),0)*(1+Assumptions!$B$76)</f>
        <v>6.4</v>
      </c>
      <c r="G31" s="21">
        <f>IF(Model!G3&lt;=4,$B$7*INDEX(Assumptions!$B$24:$E$24,Model!G3),0)*(1+Assumptions!$B$76)</f>
        <v>3.2</v>
      </c>
      <c r="H31" s="21">
        <f>IF(Model!H3&lt;=4,$B$7*INDEX(Assumptions!$B$24:$E$24,Model!H3),0)*(1+Assumptions!$B$76)</f>
        <v>0</v>
      </c>
      <c r="I31" s="21">
        <f>IF(Model!I3&lt;=4,$B$7*INDEX(Assumptions!$B$24:$E$24,Model!I3),0)*(1+Assumptions!$B$76)</f>
        <v>0</v>
      </c>
      <c r="J31" s="21">
        <f>IF(Model!J3&lt;=4,$B$7*INDEX(Assumptions!$B$24:$E$24,Model!J3),0)*(1+Assumptions!$B$76)</f>
        <v>0</v>
      </c>
      <c r="K31" s="21">
        <f>IF(Model!K3&lt;=4,$B$7*INDEX(Assumptions!$B$24:$E$24,Model!K3),0)*(1+Assumptions!$B$76)</f>
        <v>0</v>
      </c>
      <c r="L31" s="21">
        <f>IF(Model!L3&lt;=4,$B$7*INDEX(Assumptions!$B$24:$E$24,Model!L3),0)*(1+Assumptions!$B$76)</f>
        <v>0</v>
      </c>
      <c r="M31" s="21">
        <f>IF(Model!M3&lt;=4,$B$7*INDEX(Assumptions!$B$24:$E$24,Model!M3),0)*(1+Assumptions!$B$76)</f>
        <v>0</v>
      </c>
      <c r="N31" s="21">
        <f>IF(Model!N3&lt;=4,$B$7*INDEX(Assumptions!$B$24:$E$24,Model!N3),0)*(1+Assumptions!$B$76)</f>
        <v>0</v>
      </c>
      <c r="O31" s="21">
        <f>IF(Model!O3&lt;=4,$B$7*INDEX(Assumptions!$B$24:$E$24,Model!O3),0)*(1+Assumptions!$B$76)</f>
        <v>0</v>
      </c>
      <c r="P31" s="21">
        <f>IF(Model!P3&lt;=4,$B$7*INDEX(Assumptions!$B$24:$E$24,Model!P3),0)*(1+Assumptions!$B$76)</f>
        <v>0</v>
      </c>
      <c r="Q31" s="21">
        <f>IF(Model!Q3&lt;=4,$B$7*INDEX(Assumptions!$B$24:$E$24,Model!Q3),0)*(1+Assumptions!$B$76)</f>
        <v>0</v>
      </c>
      <c r="R31" s="21">
        <f>IF(Model!R3&lt;=4,$B$7*INDEX(Assumptions!$B$24:$E$24,Model!R3),0)*(1+Assumptions!$B$76)</f>
        <v>0</v>
      </c>
      <c r="S31" s="21">
        <f>IF(Model!S3&lt;=4,$B$7*INDEX(Assumptions!$B$24:$E$24,Model!S3),0)*(1+Assumptions!$B$76)</f>
        <v>0</v>
      </c>
      <c r="T31" s="21">
        <f>IF(Model!T3&lt;=4,$B$7*INDEX(Assumptions!$B$24:$E$24,Model!T3),0)*(1+Assumptions!$B$76)</f>
        <v>0</v>
      </c>
      <c r="U31" s="21">
        <f>IF(Model!U3&lt;=4,$B$7*INDEX(Assumptions!$B$24:$E$24,Model!U3),0)*(1+Assumptions!$B$76)</f>
        <v>0</v>
      </c>
      <c r="V31" s="21">
        <f>IF(Model!V3&lt;=4,$B$7*INDEX(Assumptions!$B$24:$E$24,Model!V3),0)*(1+Assumptions!$B$76)</f>
        <v>0</v>
      </c>
      <c r="W31" s="21">
        <f>IF(Model!W3&lt;=4,$B$7*INDEX(Assumptions!$B$24:$E$24,Model!W3),0)*(1+Assumptions!$B$76)</f>
        <v>0</v>
      </c>
      <c r="X31" s="21">
        <f>IF(Model!X3&lt;=4,$B$7*INDEX(Assumptions!$B$24:$E$24,Model!X3),0)*(1+Assumptions!$B$76)</f>
        <v>0</v>
      </c>
      <c r="Y31" s="21">
        <f>IF(Model!Y3&lt;=4,$B$7*INDEX(Assumptions!$B$24:$E$24,Model!Y3),0)*(1+Assumptions!$B$76)</f>
        <v>0</v>
      </c>
      <c r="Z31" s="21">
        <f>IF(Model!Z3&lt;=4,$B$7*INDEX(Assumptions!$B$24:$E$24,Model!Z3),0)*(1+Assumptions!$B$76)</f>
        <v>0</v>
      </c>
      <c r="AA31" s="21">
        <f>IF(Model!AA3&lt;=4,$B$7*INDEX(Assumptions!$B$24:$E$24,Model!AA3),0)*(1+Assumptions!$B$76)</f>
        <v>0</v>
      </c>
      <c r="AB31" s="21">
        <f>IF(Model!AB3&lt;=4,$B$7*INDEX(Assumptions!$B$24:$E$24,Model!AB3),0)*(1+Assumptions!$B$76)</f>
        <v>0</v>
      </c>
      <c r="AC31" s="21">
        <f>IF(Model!AC3&lt;=4,$B$7*INDEX(Assumptions!$B$24:$E$24,Model!AC3),0)*(1+Assumptions!$B$76)</f>
        <v>0</v>
      </c>
      <c r="AD31" s="21">
        <f>IF(Model!AD3&lt;=4,$B$7*INDEX(Assumptions!$B$24:$E$24,Model!AD3),0)*(1+Assumptions!$B$76)</f>
        <v>0</v>
      </c>
      <c r="AE31" s="21">
        <f>IF(Model!AE3&lt;=4,$B$7*INDEX(Assumptions!$B$24:$E$24,Model!AE3),0)*(1+Assumptions!$B$76)</f>
        <v>0</v>
      </c>
      <c r="AF31" s="21">
        <f>IF(Model!AF3&lt;=4,$B$7*INDEX(Assumptions!$B$24:$E$24,Model!AF3),0)*(1+Assumptions!$B$76)</f>
        <v>0</v>
      </c>
      <c r="AG31" s="21">
        <f>IF(Model!AG3&lt;=4,$B$7*INDEX(Assumptions!$B$24:$E$24,Model!AG3),0)*(1+Assumptions!$B$76)</f>
        <v>0</v>
      </c>
    </row>
    <row r="32" spans="1:33" ht="15" customHeight="1" x14ac:dyDescent="0.3">
      <c r="A32" s="9" t="s">
        <v>325</v>
      </c>
      <c r="D32" s="21">
        <f>$D$7*$E$7*(1+Assumptions!$B$75)*IF(D30&lt;=0,0,INDEX(Assumptions!$B$57:$F$57,MIN(D30,5)))*8760*$F$7*(1+Assumptions!$B$71)^(Model!D3-1)*Assumptions!$B$80/1000000</f>
        <v>0</v>
      </c>
      <c r="E32" s="21">
        <f>$D$7*$E$7*(1+Assumptions!$B$75)*IF(E30&lt;=0,0,INDEX(Assumptions!$B$57:$F$57,MIN(E30,5)))*8760*$F$7*(1+Assumptions!$B$71)^(Model!E3-1)*Assumptions!$B$80/1000000</f>
        <v>0</v>
      </c>
      <c r="F32" s="21">
        <f>$D$7*$E$7*(1+Assumptions!$B$75)*IF(F30&lt;=0,0,INDEX(Assumptions!$B$57:$F$57,MIN(F30,5)))*8760*$F$7*(1+Assumptions!$B$71)^(Model!F3-1)*Assumptions!$B$80/1000000</f>
        <v>0</v>
      </c>
      <c r="G32" s="21">
        <f>$D$7*$E$7*(1+Assumptions!$B$75)*IF(G30&lt;=0,0,INDEX(Assumptions!$B$57:$F$57,MIN(G30,5)))*8760*$F$7*(1+Assumptions!$B$71)^(Model!G3-1)*Assumptions!$B$80/1000000</f>
        <v>1.7478786448856247</v>
      </c>
      <c r="H32" s="21">
        <f>$D$7*$E$7*(1+Assumptions!$B$75)*IF(H30&lt;=0,0,INDEX(Assumptions!$B$57:$F$57,MIN(H30,5)))*8760*$F$7*(1+Assumptions!$B$71)^(Model!H3-1)*Assumptions!$B$80/1000000</f>
        <v>2.0901715461757262</v>
      </c>
      <c r="I32" s="21">
        <f>$D$7*$E$7*(1+Assumptions!$B$75)*IF(I30&lt;=0,0,INDEX(Assumptions!$B$57:$F$57,MIN(I30,5)))*8760*$F$7*(1+Assumptions!$B$71)^(Model!I3-1)*Assumptions!$B$80/1000000</f>
        <v>2.6015170851508582</v>
      </c>
      <c r="J32" s="21">
        <f>$D$7*$E$7*(1+Assumptions!$B$75)*IF(J30&lt;=0,0,INDEX(Assumptions!$B$57:$F$57,MIN(J30,5)))*8760*$F$7*(1+Assumptions!$B$71)^(Model!J3-1)*Assumptions!$B$80/1000000</f>
        <v>2.9802673666654691</v>
      </c>
      <c r="K32" s="21">
        <f>$D$7*$E$7*(1+Assumptions!$B$75)*IF(K30&lt;=0,0,INDEX(Assumptions!$B$57:$F$57,MIN(K30,5)))*8760*$F$7*(1+Assumptions!$B$71)^(Model!K3-1)*Assumptions!$B$80/1000000</f>
        <v>3.2155516324548485</v>
      </c>
      <c r="L32" s="21">
        <f>$D$7*$E$7*(1+Assumptions!$B$75)*IF(L30&lt;=0,0,INDEX(Assumptions!$B$57:$F$57,MIN(L30,5)))*8760*$F$7*(1+Assumptions!$B$71)^(Model!L3-1)*Assumptions!$B$80/1000000</f>
        <v>3.2959404232662193</v>
      </c>
      <c r="M32" s="21">
        <f>$D$7*$E$7*(1+Assumptions!$B$75)*IF(M30&lt;=0,0,INDEX(Assumptions!$B$57:$F$57,MIN(M30,5)))*8760*$F$7*(1+Assumptions!$B$71)^(Model!M3-1)*Assumptions!$B$80/1000000</f>
        <v>3.378338933847874</v>
      </c>
      <c r="N32" s="21">
        <f>$D$7*$E$7*(1+Assumptions!$B$75)*IF(N30&lt;=0,0,INDEX(Assumptions!$B$57:$F$57,MIN(N30,5)))*8760*$F$7*(1+Assumptions!$B$71)^(Model!N3-1)*Assumptions!$B$80/1000000</f>
        <v>3.462797407194071</v>
      </c>
      <c r="O32" s="21">
        <f>$D$7*$E$7*(1+Assumptions!$B$75)*IF(O30&lt;=0,0,INDEX(Assumptions!$B$57:$F$57,MIN(O30,5)))*8760*$F$7*(1+Assumptions!$B$71)^(Model!O3-1)*Assumptions!$B$80/1000000</f>
        <v>3.5493673423739223</v>
      </c>
      <c r="P32" s="21">
        <f>$D$7*$E$7*(1+Assumptions!$B$75)*IF(P30&lt;=0,0,INDEX(Assumptions!$B$57:$F$57,MIN(P30,5)))*8760*$F$7*(1+Assumptions!$B$71)^(Model!P3-1)*Assumptions!$B$80/1000000</f>
        <v>3.6381015259332705</v>
      </c>
      <c r="Q32" s="21">
        <f>$D$7*$E$7*(1+Assumptions!$B$75)*IF(Q30&lt;=0,0,INDEX(Assumptions!$B$57:$F$57,MIN(Q30,5)))*8760*$F$7*(1+Assumptions!$B$71)^(Model!Q3-1)*Assumptions!$B$80/1000000</f>
        <v>3.7290540640816023</v>
      </c>
      <c r="R32" s="21">
        <f>$D$7*$E$7*(1+Assumptions!$B$75)*IF(R30&lt;=0,0,INDEX(Assumptions!$B$57:$F$57,MIN(R30,5)))*8760*$F$7*(1+Assumptions!$B$71)^(Model!R3-1)*Assumptions!$B$80/1000000</f>
        <v>3.8222804156836419</v>
      </c>
      <c r="S32" s="21">
        <f>$D$7*$E$7*(1+Assumptions!$B$75)*IF(S30&lt;=0,0,INDEX(Assumptions!$B$57:$F$57,MIN(S30,5)))*8760*$F$7*(1+Assumptions!$B$71)^(Model!S3-1)*Assumptions!$B$80/1000000</f>
        <v>3.9178374260757329</v>
      </c>
      <c r="T32" s="21">
        <f>$D$7*$E$7*(1+Assumptions!$B$75)*IF(T30&lt;=0,0,INDEX(Assumptions!$B$57:$F$57,MIN(T30,5)))*8760*$F$7*(1+Assumptions!$B$71)^(Model!T3-1)*Assumptions!$B$80/1000000</f>
        <v>4.0157833617276264</v>
      </c>
      <c r="U32" s="21">
        <f>$D$7*$E$7*(1+Assumptions!$B$75)*IF(U30&lt;=0,0,INDEX(Assumptions!$B$57:$F$57,MIN(U30,5)))*8760*$F$7*(1+Assumptions!$B$71)^(Model!U3-1)*Assumptions!$B$80/1000000</f>
        <v>4.1161779457708167</v>
      </c>
      <c r="V32" s="21">
        <f>$D$7*$E$7*(1+Assumptions!$B$75)*IF(V30&lt;=0,0,INDEX(Assumptions!$B$57:$F$57,MIN(V30,5)))*8760*$F$7*(1+Assumptions!$B$71)^(Model!V3-1)*Assumptions!$B$80/1000000</f>
        <v>4.2190823944150875</v>
      </c>
      <c r="W32" s="21">
        <f>$D$7*$E$7*(1+Assumptions!$B$75)*IF(W30&lt;=0,0,INDEX(Assumptions!$B$57:$F$57,MIN(W30,5)))*8760*$F$7*(1+Assumptions!$B$71)^(Model!W3-1)*Assumptions!$B$80/1000000</f>
        <v>4.3245594542754633</v>
      </c>
      <c r="X32" s="21">
        <f>$D$7*$E$7*(1+Assumptions!$B$75)*IF(X30&lt;=0,0,INDEX(Assumptions!$B$57:$F$57,MIN(X30,5)))*8760*$F$7*(1+Assumptions!$B$71)^(Model!X3-1)*Assumptions!$B$80/1000000</f>
        <v>4.4326734406323496</v>
      </c>
      <c r="Y32" s="21">
        <f>$D$7*$E$7*(1+Assumptions!$B$75)*IF(Y30&lt;=0,0,INDEX(Assumptions!$B$57:$F$57,MIN(Y30,5)))*8760*$F$7*(1+Assumptions!$B$71)^(Model!Y3-1)*Assumptions!$B$80/1000000</f>
        <v>4.543490276648158</v>
      </c>
      <c r="Z32" s="21">
        <f>$D$7*$E$7*(1+Assumptions!$B$75)*IF(Z30&lt;=0,0,INDEX(Assumptions!$B$57:$F$57,MIN(Z30,5)))*8760*$F$7*(1+Assumptions!$B$71)^(Model!Z3-1)*Assumptions!$B$80/1000000</f>
        <v>4.6570775335643617</v>
      </c>
      <c r="AA32" s="21">
        <f>$D$7*$E$7*(1+Assumptions!$B$75)*IF(AA30&lt;=0,0,INDEX(Assumptions!$B$57:$F$57,MIN(AA30,5)))*8760*$F$7*(1+Assumptions!$B$71)^(Model!AA3-1)*Assumptions!$B$80/1000000</f>
        <v>4.7735044719034709</v>
      </c>
      <c r="AB32" s="21">
        <f>$D$7*$E$7*(1+Assumptions!$B$75)*IF(AB30&lt;=0,0,INDEX(Assumptions!$B$57:$F$57,MIN(AB30,5)))*8760*$F$7*(1+Assumptions!$B$71)^(Model!AB3-1)*Assumptions!$B$80/1000000</f>
        <v>4.8928420837010584</v>
      </c>
      <c r="AC32" s="21">
        <f>$D$7*$E$7*(1+Assumptions!$B$75)*IF(AC30&lt;=0,0,INDEX(Assumptions!$B$57:$F$57,MIN(AC30,5)))*8760*$F$7*(1+Assumptions!$B$71)^(Model!AC3-1)*Assumptions!$B$80/1000000</f>
        <v>5.0151631357935837</v>
      </c>
      <c r="AD32" s="21">
        <f>$D$7*$E$7*(1+Assumptions!$B$75)*IF(AD30&lt;=0,0,INDEX(Assumptions!$B$57:$F$57,MIN(AD30,5)))*8760*$F$7*(1+Assumptions!$B$71)^(Model!AD3-1)*Assumptions!$B$80/1000000</f>
        <v>5.1405422141884225</v>
      </c>
      <c r="AE32" s="21">
        <f>$D$7*$E$7*(1+Assumptions!$B$75)*IF(AE30&lt;=0,0,INDEX(Assumptions!$B$57:$F$57,MIN(AE30,5)))*8760*$F$7*(1+Assumptions!$B$71)^(Model!AE3-1)*Assumptions!$B$80/1000000</f>
        <v>5.269055769543133</v>
      </c>
      <c r="AF32" s="21">
        <f>$D$7*$E$7*(1+Assumptions!$B$75)*IF(AF30&lt;=0,0,INDEX(Assumptions!$B$57:$F$57,MIN(AF30,5)))*8760*$F$7*(1+Assumptions!$B$71)^(Model!AF3-1)*Assumptions!$B$80/1000000</f>
        <v>5.4007821637817113</v>
      </c>
      <c r="AG32" s="21">
        <f>$D$7*$E$7*(1+Assumptions!$B$75)*IF(AG30&lt;=0,0,INDEX(Assumptions!$B$57:$F$57,MIN(AG30,5)))*8760*$F$7*(1+Assumptions!$B$71)^(Model!AG3-1)*Assumptions!$B$80/1000000</f>
        <v>5.5358017178762546</v>
      </c>
    </row>
    <row r="33" spans="1:33" ht="15" customHeight="1" x14ac:dyDescent="0.3">
      <c r="A33" s="9" t="s">
        <v>326</v>
      </c>
      <c r="D33" s="21">
        <f>$G$7*(IF(D30&lt;=0,0,IF(D30&lt;=5,$H$7/5*D30,IF(D30&lt;=10,$H$7+($I$7-$H$7)*(D30-5)/5,$I$7))))*365*(1+Assumptions!$B$75)*$J$7*(1+Assumptions!$B$71)^(Model!D3-1)*Assumptions!$B$80/1000000</f>
        <v>0</v>
      </c>
      <c r="E33" s="21">
        <f>$G$7*(IF(E30&lt;=0,0,IF(E30&lt;=5,$H$7/5*E30,IF(E30&lt;=10,$H$7+($I$7-$H$7)*(E30-5)/5,$I$7))))*365*(1+Assumptions!$B$75)*$J$7*(1+Assumptions!$B$71)^(Model!E3-1)*Assumptions!$B$80/1000000</f>
        <v>0</v>
      </c>
      <c r="F33" s="21">
        <f>$G$7*(IF(F30&lt;=0,0,IF(F30&lt;=5,$H$7/5*F30,IF(F30&lt;=10,$H$7+($I$7-$H$7)*(F30-5)/5,$I$7))))*365*(1+Assumptions!$B$75)*$J$7*(1+Assumptions!$B$71)^(Model!F3-1)*Assumptions!$B$80/1000000</f>
        <v>0</v>
      </c>
      <c r="G33" s="21">
        <f>$G$7*(IF(G30&lt;=0,0,IF(G30&lt;=5,$H$7/5*G30,IF(G30&lt;=10,$H$7+($I$7-$H$7)*(G30-5)/5,$I$7))))*365*(1+Assumptions!$B$75)*$J$7*(1+Assumptions!$B$71)^(Model!G3-1)*Assumptions!$B$80/1000000</f>
        <v>5.6129693156249993E-2</v>
      </c>
      <c r="H33" s="21">
        <f>$G$7*(IF(H30&lt;=0,0,IF(H30&lt;=5,$H$7/5*H30,IF(H30&lt;=10,$H$7+($I$7-$H$7)*(H30-5)/5,$I$7))))*365*(1+Assumptions!$B$75)*$J$7*(1+Assumptions!$B$71)^(Model!H3-1)*Assumptions!$B$80/1000000</f>
        <v>0.1150658709703125</v>
      </c>
      <c r="I33" s="21">
        <f>$G$7*(IF(I30&lt;=0,0,IF(I30&lt;=5,$H$7/5*I30,IF(I30&lt;=10,$H$7+($I$7-$H$7)*(I30-5)/5,$I$7))))*365*(1+Assumptions!$B$75)*$J$7*(1+Assumptions!$B$71)^(Model!I3-1)*Assumptions!$B$80/1000000</f>
        <v>0.17691377661685539</v>
      </c>
      <c r="J33" s="21">
        <f>$G$7*(IF(J30&lt;=0,0,IF(J30&lt;=5,$H$7/5*J30,IF(J30&lt;=10,$H$7+($I$7-$H$7)*(J30-5)/5,$I$7))))*365*(1+Assumptions!$B$75)*$J$7*(1+Assumptions!$B$71)^(Model!J3-1)*Assumptions!$B$80/1000000</f>
        <v>0.24178216137636907</v>
      </c>
      <c r="K33" s="21">
        <f>$G$7*(IF(K30&lt;=0,0,IF(K30&lt;=5,$H$7/5*K30,IF(K30&lt;=10,$H$7+($I$7-$H$7)*(K30-5)/5,$I$7))))*365*(1+Assumptions!$B$75)*$J$7*(1+Assumptions!$B$71)^(Model!K3-1)*Assumptions!$B$80/1000000</f>
        <v>0.3097833942634729</v>
      </c>
      <c r="L33" s="21">
        <f>$G$7*(IF(L30&lt;=0,0,IF(L30&lt;=5,$H$7/5*L30,IF(L30&lt;=10,$H$7+($I$7-$H$7)*(L30-5)/5,$I$7))))*365*(1+Assumptions!$B$75)*$J$7*(1+Assumptions!$B$71)^(Model!L3-1)*Assumptions!$B$80/1000000</f>
        <v>0.35721897651006712</v>
      </c>
      <c r="M33" s="21">
        <f>$G$7*(IF(M30&lt;=0,0,IF(M30&lt;=5,$H$7/5*M30,IF(M30&lt;=10,$H$7+($I$7-$H$7)*(M30-5)/5,$I$7))))*365*(1+Assumptions!$B$75)*$J$7*(1+Assumptions!$B$71)^(Model!M3-1)*Assumptions!$B$80/1000000</f>
        <v>0.40683272324757636</v>
      </c>
      <c r="N33" s="21">
        <f>$G$7*(IF(N30&lt;=0,0,IF(N30&lt;=5,$H$7/5*N30,IF(N30&lt;=10,$H$7+($I$7-$H$7)*(N30-5)/5,$I$7))))*365*(1+Assumptions!$B$75)*$J$7*(1+Assumptions!$B$71)^(Model!N3-1)*Assumptions!$B$80/1000000</f>
        <v>0.45870389546164242</v>
      </c>
      <c r="O33" s="21">
        <f>$G$7*(IF(O30&lt;=0,0,IF(O30&lt;=5,$H$7/5*O30,IF(O30&lt;=10,$H$7+($I$7-$H$7)*(O30-5)/5,$I$7))))*365*(1+Assumptions!$B$75)*$J$7*(1+Assumptions!$B$71)^(Model!O3-1)*Assumptions!$B$80/1000000</f>
        <v>0.51291435583438194</v>
      </c>
      <c r="P33" s="21">
        <f>$G$7*(IF(P30&lt;=0,0,IF(P30&lt;=5,$H$7/5*P30,IF(P30&lt;=10,$H$7+($I$7-$H$7)*(P30-5)/5,$I$7))))*365*(1+Assumptions!$B$75)*$J$7*(1+Assumptions!$B$71)^(Model!P3-1)*Assumptions!$B$80/1000000</f>
        <v>0.56954864929109494</v>
      </c>
      <c r="Q33" s="21">
        <f>$G$7*(IF(Q30&lt;=0,0,IF(Q30&lt;=5,$H$7/5*Q30,IF(Q30&lt;=10,$H$7+($I$7-$H$7)*(Q30-5)/5,$I$7))))*365*(1+Assumptions!$B$75)*$J$7*(1+Assumptions!$B$71)^(Model!Q3-1)*Assumptions!$B$80/1000000</f>
        <v>0.58378736552337218</v>
      </c>
      <c r="R33" s="21">
        <f>$G$7*(IF(R30&lt;=0,0,IF(R30&lt;=5,$H$7/5*R30,IF(R30&lt;=10,$H$7+($I$7-$H$7)*(R30-5)/5,$I$7))))*365*(1+Assumptions!$B$75)*$J$7*(1+Assumptions!$B$71)^(Model!R3-1)*Assumptions!$B$80/1000000</f>
        <v>0.59838204966145647</v>
      </c>
      <c r="S33" s="21">
        <f>$G$7*(IF(S30&lt;=0,0,IF(S30&lt;=5,$H$7/5*S30,IF(S30&lt;=10,$H$7+($I$7-$H$7)*(S30-5)/5,$I$7))))*365*(1+Assumptions!$B$75)*$J$7*(1+Assumptions!$B$71)^(Model!S3-1)*Assumptions!$B$80/1000000</f>
        <v>0.61334160090299294</v>
      </c>
      <c r="T33" s="21">
        <f>$G$7*(IF(T30&lt;=0,0,IF(T30&lt;=5,$H$7/5*T30,IF(T30&lt;=10,$H$7+($I$7-$H$7)*(T30-5)/5,$I$7))))*365*(1+Assumptions!$B$75)*$J$7*(1+Assumptions!$B$71)^(Model!T3-1)*Assumptions!$B$80/1000000</f>
        <v>0.62867514092556787</v>
      </c>
      <c r="U33" s="21">
        <f>$G$7*(IF(U30&lt;=0,0,IF(U30&lt;=5,$H$7/5*U30,IF(U30&lt;=10,$H$7+($I$7-$H$7)*(U30-5)/5,$I$7))))*365*(1+Assumptions!$B$75)*$J$7*(1+Assumptions!$B$71)^(Model!U3-1)*Assumptions!$B$80/1000000</f>
        <v>0.64439201944870683</v>
      </c>
      <c r="V33" s="21">
        <f>$G$7*(IF(V30&lt;=0,0,IF(V30&lt;=5,$H$7/5*V30,IF(V30&lt;=10,$H$7+($I$7-$H$7)*(V30-5)/5,$I$7))))*365*(1+Assumptions!$B$75)*$J$7*(1+Assumptions!$B$71)^(Model!V3-1)*Assumptions!$B$80/1000000</f>
        <v>0.66050181993492463</v>
      </c>
      <c r="W33" s="21">
        <f>$G$7*(IF(W30&lt;=0,0,IF(W30&lt;=5,$H$7/5*W30,IF(W30&lt;=10,$H$7+($I$7-$H$7)*(W30-5)/5,$I$7))))*365*(1+Assumptions!$B$75)*$J$7*(1+Assumptions!$B$71)^(Model!W3-1)*Assumptions!$B$80/1000000</f>
        <v>0.67701436543329774</v>
      </c>
      <c r="X33" s="21">
        <f>$G$7*(IF(X30&lt;=0,0,IF(X30&lt;=5,$H$7/5*X30,IF(X30&lt;=10,$H$7+($I$7-$H$7)*(X30-5)/5,$I$7))))*365*(1+Assumptions!$B$75)*$J$7*(1+Assumptions!$B$71)^(Model!X3-1)*Assumptions!$B$80/1000000</f>
        <v>0.69393972456913</v>
      </c>
      <c r="Y33" s="21">
        <f>$G$7*(IF(Y30&lt;=0,0,IF(Y30&lt;=5,$H$7/5*Y30,IF(Y30&lt;=10,$H$7+($I$7-$H$7)*(Y30-5)/5,$I$7))))*365*(1+Assumptions!$B$75)*$J$7*(1+Assumptions!$B$71)^(Model!Y3-1)*Assumptions!$B$80/1000000</f>
        <v>0.71128821768335826</v>
      </c>
      <c r="Z33" s="21">
        <f>$G$7*(IF(Z30&lt;=0,0,IF(Z30&lt;=5,$H$7/5*Z30,IF(Z30&lt;=10,$H$7+($I$7-$H$7)*(Z30-5)/5,$I$7))))*365*(1+Assumptions!$B$75)*$J$7*(1+Assumptions!$B$71)^(Model!Z3-1)*Assumptions!$B$80/1000000</f>
        <v>0.72907042312544212</v>
      </c>
      <c r="AA33" s="21">
        <f>$G$7*(IF(AA30&lt;=0,0,IF(AA30&lt;=5,$H$7/5*AA30,IF(AA30&lt;=10,$H$7+($I$7-$H$7)*(AA30-5)/5,$I$7))))*365*(1+Assumptions!$B$75)*$J$7*(1+Assumptions!$B$71)^(Model!AA3-1)*Assumptions!$B$80/1000000</f>
        <v>0.74729718370357823</v>
      </c>
      <c r="AB33" s="21">
        <f>$G$7*(IF(AB30&lt;=0,0,IF(AB30&lt;=5,$H$7/5*AB30,IF(AB30&lt;=10,$H$7+($I$7-$H$7)*(AB30-5)/5,$I$7))))*365*(1+Assumptions!$B$75)*$J$7*(1+Assumptions!$B$71)^(Model!AB3-1)*Assumptions!$B$80/1000000</f>
        <v>0.76597961329616759</v>
      </c>
      <c r="AC33" s="21">
        <f>$G$7*(IF(AC30&lt;=0,0,IF(AC30&lt;=5,$H$7/5*AC30,IF(AC30&lt;=10,$H$7+($I$7-$H$7)*(AC30-5)/5,$I$7))))*365*(1+Assumptions!$B$75)*$J$7*(1+Assumptions!$B$71)^(Model!AC3-1)*Assumptions!$B$80/1000000</f>
        <v>0.78512910362857169</v>
      </c>
      <c r="AD33" s="21">
        <f>$G$7*(IF(AD30&lt;=0,0,IF(AD30&lt;=5,$H$7/5*AD30,IF(AD30&lt;=10,$H$7+($I$7-$H$7)*(AD30-5)/5,$I$7))))*365*(1+Assumptions!$B$75)*$J$7*(1+Assumptions!$B$71)^(Model!AD3-1)*Assumptions!$B$80/1000000</f>
        <v>0.80475733121928594</v>
      </c>
      <c r="AE33" s="21">
        <f>$G$7*(IF(AE30&lt;=0,0,IF(AE30&lt;=5,$H$7/5*AE30,IF(AE30&lt;=10,$H$7+($I$7-$H$7)*(AE30-5)/5,$I$7))))*365*(1+Assumptions!$B$75)*$J$7*(1+Assumptions!$B$71)^(Model!AE3-1)*Assumptions!$B$80/1000000</f>
        <v>0.82487626449976803</v>
      </c>
      <c r="AF33" s="21">
        <f>$G$7*(IF(AF30&lt;=0,0,IF(AF30&lt;=5,$H$7/5*AF30,IF(AF30&lt;=10,$H$7+($I$7-$H$7)*(AF30-5)/5,$I$7))))*365*(1+Assumptions!$B$75)*$J$7*(1+Assumptions!$B$71)^(Model!AF3-1)*Assumptions!$B$80/1000000</f>
        <v>0.84549817111226222</v>
      </c>
      <c r="AG33" s="21">
        <f>$G$7*(IF(AG30&lt;=0,0,IF(AG30&lt;=5,$H$7/5*AG30,IF(AG30&lt;=10,$H$7+($I$7-$H$7)*(AG30-5)/5,$I$7))))*365*(1+Assumptions!$B$75)*$J$7*(1+Assumptions!$B$71)^(Model!AG3-1)*Assumptions!$B$80/1000000</f>
        <v>0.86663562539006889</v>
      </c>
    </row>
    <row r="34" spans="1:33" ht="15" customHeight="1" x14ac:dyDescent="0.3">
      <c r="A34" s="9" t="s">
        <v>327</v>
      </c>
      <c r="D34" s="21">
        <f>$L$7*IF(D30&lt;=0,0,INDEX(Assumptions!$B$57:$F$57,MIN(D30,5)))*(1+Assumptions!$B$71)^(Model!D3-1)</f>
        <v>0</v>
      </c>
      <c r="E34" s="21">
        <f>$L$7*IF(E30&lt;=0,0,INDEX(Assumptions!$B$57:$F$57,MIN(E30,5)))*(1+Assumptions!$B$71)^(Model!E3-1)</f>
        <v>0</v>
      </c>
      <c r="F34" s="21">
        <f>$L$7*IF(F30&lt;=0,0,INDEX(Assumptions!$B$57:$F$57,MIN(F30,5)))*(1+Assumptions!$B$71)^(Model!F3-1)</f>
        <v>0</v>
      </c>
      <c r="G34" s="21">
        <f>$L$7*IF(G30&lt;=0,0,INDEX(Assumptions!$B$57:$F$57,MIN(G30,5)))*(1+Assumptions!$B$71)^(Model!G3-1)</f>
        <v>0.31014449999999993</v>
      </c>
      <c r="H34" s="21">
        <f>$L$7*IF(H30&lt;=0,0,INDEX(Assumptions!$B$57:$F$57,MIN(H30,5)))*(1+Assumptions!$B$71)^(Model!H3-1)</f>
        <v>0.37088113124999988</v>
      </c>
      <c r="I34" s="21">
        <f>$L$7*IF(I30&lt;=0,0,INDEX(Assumptions!$B$57:$F$57,MIN(I30,5)))*(1+Assumptions!$B$71)^(Model!I3-1)</f>
        <v>0.46161455085937481</v>
      </c>
      <c r="J34" s="21">
        <f>$L$7*IF(J30&lt;=0,0,INDEX(Assumptions!$B$57:$F$57,MIN(J30,5)))*(1+Assumptions!$B$71)^(Model!J3-1)</f>
        <v>0.5288201987050779</v>
      </c>
      <c r="K34" s="21">
        <f>$L$7*IF(K30&lt;=0,0,INDEX(Assumptions!$B$57:$F$57,MIN(K30,5)))*(1+Assumptions!$B$71)^(Model!K3-1)</f>
        <v>0.57056916176074202</v>
      </c>
      <c r="L34" s="21">
        <f>$L$7*IF(L30&lt;=0,0,INDEX(Assumptions!$B$57:$F$57,MIN(L30,5)))*(1+Assumptions!$B$71)^(Model!L3-1)</f>
        <v>0.58483339080476049</v>
      </c>
      <c r="M34" s="21">
        <f>$L$7*IF(M30&lt;=0,0,INDEX(Assumptions!$B$57:$F$57,MIN(M30,5)))*(1+Assumptions!$B$71)^(Model!M3-1)</f>
        <v>0.59945422557487937</v>
      </c>
      <c r="N34" s="21">
        <f>$L$7*IF(N30&lt;=0,0,INDEX(Assumptions!$B$57:$F$57,MIN(N30,5)))*(1+Assumptions!$B$71)^(Model!N3-1)</f>
        <v>0.61444058121425138</v>
      </c>
      <c r="O34" s="21">
        <f>$L$7*IF(O30&lt;=0,0,INDEX(Assumptions!$B$57:$F$57,MIN(O30,5)))*(1+Assumptions!$B$71)^(Model!O3-1)</f>
        <v>0.6298015957446077</v>
      </c>
      <c r="P34" s="21">
        <f>$L$7*IF(P30&lt;=0,0,INDEX(Assumptions!$B$57:$F$57,MIN(P30,5)))*(1+Assumptions!$B$71)^(Model!P3-1)</f>
        <v>0.64554663563822279</v>
      </c>
      <c r="Q34" s="21">
        <f>$L$7*IF(Q30&lt;=0,0,INDEX(Assumptions!$B$57:$F$57,MIN(Q30,5)))*(1+Assumptions!$B$71)^(Model!Q3-1)</f>
        <v>0.66168530152917837</v>
      </c>
      <c r="R34" s="21">
        <f>$L$7*IF(R30&lt;=0,0,INDEX(Assumptions!$B$57:$F$57,MIN(R30,5)))*(1+Assumptions!$B$71)^(Model!R3-1)</f>
        <v>0.67822743406740771</v>
      </c>
      <c r="S34" s="21">
        <f>$L$7*IF(S30&lt;=0,0,INDEX(Assumptions!$B$57:$F$57,MIN(S30,5)))*(1+Assumptions!$B$71)^(Model!S3-1)</f>
        <v>0.69518311991909298</v>
      </c>
      <c r="T34" s="21">
        <f>$L$7*IF(T30&lt;=0,0,INDEX(Assumptions!$B$57:$F$57,MIN(T30,5)))*(1+Assumptions!$B$71)^(Model!T3-1)</f>
        <v>0.71256269791707028</v>
      </c>
      <c r="U34" s="21">
        <f>$L$7*IF(U30&lt;=0,0,INDEX(Assumptions!$B$57:$F$57,MIN(U30,5)))*(1+Assumptions!$B$71)^(Model!U3-1)</f>
        <v>0.73037676536499696</v>
      </c>
      <c r="V34" s="21">
        <f>$L$7*IF(V30&lt;=0,0,INDEX(Assumptions!$B$57:$F$57,MIN(V30,5)))*(1+Assumptions!$B$71)^(Model!V3-1)</f>
        <v>0.74863618449912184</v>
      </c>
      <c r="W34" s="21">
        <f>$L$7*IF(W30&lt;=0,0,INDEX(Assumptions!$B$57:$F$57,MIN(W30,5)))*(1+Assumptions!$B$71)^(Model!W3-1)</f>
        <v>0.76735208911159991</v>
      </c>
      <c r="X34" s="21">
        <f>$L$7*IF(X30&lt;=0,0,INDEX(Assumptions!$B$57:$F$57,MIN(X30,5)))*(1+Assumptions!$B$71)^(Model!X3-1)</f>
        <v>0.78653589133938984</v>
      </c>
      <c r="Y34" s="21">
        <f>$L$7*IF(Y30&lt;=0,0,INDEX(Assumptions!$B$57:$F$57,MIN(Y30,5)))*(1+Assumptions!$B$71)^(Model!Y3-1)</f>
        <v>0.80619928862287449</v>
      </c>
      <c r="Z34" s="21">
        <f>$L$7*IF(Z30&lt;=0,0,INDEX(Assumptions!$B$57:$F$57,MIN(Z30,5)))*(1+Assumptions!$B$71)^(Model!Z3-1)</f>
        <v>0.82635427083844637</v>
      </c>
      <c r="AA34" s="21">
        <f>$L$7*IF(AA30&lt;=0,0,INDEX(Assumptions!$B$57:$F$57,MIN(AA30,5)))*(1+Assumptions!$B$71)^(Model!AA3-1)</f>
        <v>0.8470131276094075</v>
      </c>
      <c r="AB34" s="21">
        <f>$L$7*IF(AB30&lt;=0,0,INDEX(Assumptions!$B$57:$F$57,MIN(AB30,5)))*(1+Assumptions!$B$71)^(Model!AB3-1)</f>
        <v>0.86818845579964266</v>
      </c>
      <c r="AC34" s="21">
        <f>$L$7*IF(AC30&lt;=0,0,INDEX(Assumptions!$B$57:$F$57,MIN(AC30,5)))*(1+Assumptions!$B$71)^(Model!AC3-1)</f>
        <v>0.88989316719463363</v>
      </c>
      <c r="AD34" s="21">
        <f>$L$7*IF(AD30&lt;=0,0,INDEX(Assumptions!$B$57:$F$57,MIN(AD30,5)))*(1+Assumptions!$B$71)^(Model!AD3-1)</f>
        <v>0.91214049637449934</v>
      </c>
      <c r="AE34" s="21">
        <f>$L$7*IF(AE30&lt;=0,0,INDEX(Assumptions!$B$57:$F$57,MIN(AE30,5)))*(1+Assumptions!$B$71)^(Model!AE3-1)</f>
        <v>0.93494400878386186</v>
      </c>
      <c r="AF34" s="21">
        <f>$L$7*IF(AF30&lt;=0,0,INDEX(Assumptions!$B$57:$F$57,MIN(AF30,5)))*(1+Assumptions!$B$71)^(Model!AF3-1)</f>
        <v>0.9583176090034583</v>
      </c>
      <c r="AG34" s="21">
        <f>$L$7*IF(AG30&lt;=0,0,INDEX(Assumptions!$B$57:$F$57,MIN(AG30,5)))*(1+Assumptions!$B$71)^(Model!AG3-1)</f>
        <v>0.98227554922854488</v>
      </c>
    </row>
    <row r="35" spans="1:33" ht="15" customHeight="1" x14ac:dyDescent="0.3">
      <c r="A35" s="9" t="s">
        <v>328</v>
      </c>
      <c r="D35" s="21">
        <f>IF(D30&gt;0,$K$7*(1+Assumptions!$B$71)^(Model!D3-1),0)</f>
        <v>0</v>
      </c>
      <c r="E35" s="21">
        <f>IF(E30&gt;0,$K$7*(1+Assumptions!$B$71)^(Model!E3-1),0)</f>
        <v>0</v>
      </c>
      <c r="F35" s="21">
        <f>IF(F30&gt;0,$K$7*(1+Assumptions!$B$71)^(Model!F3-1),0)</f>
        <v>0</v>
      </c>
      <c r="G35" s="21">
        <f>IF(G30&gt;0,$K$7*(1+Assumptions!$B$71)^(Model!G3-1),0)</f>
        <v>3.8563453281249993</v>
      </c>
      <c r="H35" s="21">
        <f>IF(H30&gt;0,$K$7*(1+Assumptions!$B$71)^(Model!H3-1),0)</f>
        <v>3.9527539613281242</v>
      </c>
      <c r="I35" s="21">
        <f>IF(I30&gt;0,$K$7*(1+Assumptions!$B$71)^(Model!I3-1),0)</f>
        <v>4.0515728103613267</v>
      </c>
      <c r="J35" s="21">
        <f>IF(J30&gt;0,$K$7*(1+Assumptions!$B$71)^(Model!J3-1),0)</f>
        <v>4.1528621306203597</v>
      </c>
      <c r="K35" s="21">
        <f>IF(K30&gt;0,$K$7*(1+Assumptions!$B$71)^(Model!K3-1),0)</f>
        <v>4.2566836838858686</v>
      </c>
      <c r="L35" s="21">
        <f>IF(L30&gt;0,$K$7*(1+Assumptions!$B$71)^(Model!L3-1),0)</f>
        <v>4.3631007759830149</v>
      </c>
      <c r="M35" s="21">
        <f>IF(M30&gt;0,$K$7*(1+Assumptions!$B$71)^(Model!M3-1),0)</f>
        <v>4.4721782953825899</v>
      </c>
      <c r="N35" s="21">
        <f>IF(N30&gt;0,$K$7*(1+Assumptions!$B$71)^(Model!N3-1),0)</f>
        <v>4.5839827527671551</v>
      </c>
      <c r="O35" s="21">
        <f>IF(O30&gt;0,$K$7*(1+Assumptions!$B$71)^(Model!O3-1),0)</f>
        <v>4.6985823215863336</v>
      </c>
      <c r="P35" s="21">
        <f>IF(P30&gt;0,$K$7*(1+Assumptions!$B$71)^(Model!P3-1),0)</f>
        <v>4.8160468796259917</v>
      </c>
      <c r="Q35" s="21">
        <f>IF(Q30&gt;0,$K$7*(1+Assumptions!$B$71)^(Model!Q3-1),0)</f>
        <v>4.9364480516166411</v>
      </c>
      <c r="R35" s="21">
        <f>IF(R30&gt;0,$K$7*(1+Assumptions!$B$71)^(Model!R3-1),0)</f>
        <v>5.0598592529070565</v>
      </c>
      <c r="S35" s="21">
        <f>IF(S30&gt;0,$K$7*(1+Assumptions!$B$71)^(Model!S3-1),0)</f>
        <v>5.1863557342297337</v>
      </c>
      <c r="T35" s="21">
        <f>IF(T30&gt;0,$K$7*(1+Assumptions!$B$71)^(Model!T3-1),0)</f>
        <v>5.3160146275854769</v>
      </c>
      <c r="U35" s="21">
        <f>IF(U30&gt;0,$K$7*(1+Assumptions!$B$71)^(Model!U3-1),0)</f>
        <v>5.4489149932751131</v>
      </c>
      <c r="V35" s="21">
        <f>IF(V30&gt;0,$K$7*(1+Assumptions!$B$71)^(Model!V3-1),0)</f>
        <v>5.5851378681069903</v>
      </c>
      <c r="W35" s="21">
        <f>IF(W30&gt;0,$K$7*(1+Assumptions!$B$71)^(Model!W3-1),0)</f>
        <v>5.7247663148096652</v>
      </c>
      <c r="X35" s="21">
        <f>IF(X30&gt;0,$K$7*(1+Assumptions!$B$71)^(Model!X3-1),0)</f>
        <v>5.8678854726799061</v>
      </c>
      <c r="Y35" s="21">
        <f>IF(Y30&gt;0,$K$7*(1+Assumptions!$B$71)^(Model!Y3-1),0)</f>
        <v>6.0145826094969035</v>
      </c>
      <c r="Z35" s="21">
        <f>IF(Z30&gt;0,$K$7*(1+Assumptions!$B$71)^(Model!Z3-1),0)</f>
        <v>6.1649471747343254</v>
      </c>
      <c r="AA35" s="21">
        <f>IF(AA30&gt;0,$K$7*(1+Assumptions!$B$71)^(Model!AA3-1),0)</f>
        <v>6.3190708541026845</v>
      </c>
      <c r="AB35" s="21">
        <f>IF(AB30&gt;0,$K$7*(1+Assumptions!$B$71)^(Model!AB3-1),0)</f>
        <v>6.4770476254552509</v>
      </c>
      <c r="AC35" s="21">
        <f>IF(AC30&gt;0,$K$7*(1+Assumptions!$B$71)^(Model!AC3-1),0)</f>
        <v>6.6389738160916307</v>
      </c>
      <c r="AD35" s="21">
        <f>IF(AD30&gt;0,$K$7*(1+Assumptions!$B$71)^(Model!AD3-1),0)</f>
        <v>6.8049481614939218</v>
      </c>
      <c r="AE35" s="21">
        <f>IF(AE30&gt;0,$K$7*(1+Assumptions!$B$71)^(Model!AE3-1),0)</f>
        <v>6.9750718655312696</v>
      </c>
      <c r="AF35" s="21">
        <f>IF(AF30&gt;0,$K$7*(1+Assumptions!$B$71)^(Model!AF3-1),0)</f>
        <v>7.1494486621695508</v>
      </c>
      <c r="AG35" s="21">
        <f>IF(AG30&gt;0,$K$7*(1+Assumptions!$B$71)^(Model!AG3-1),0)</f>
        <v>7.32818487872379</v>
      </c>
    </row>
    <row r="37" spans="1:33" ht="15" customHeight="1" x14ac:dyDescent="0.3">
      <c r="A37" s="9" t="s">
        <v>329</v>
      </c>
      <c r="D37" s="9">
        <f>IF(Model!D3&gt;=$C$8,Model!D3-$C$8+1,0)</f>
        <v>0</v>
      </c>
      <c r="E37" s="9">
        <f>IF(Model!E3&gt;=$C$8,Model!E3-$C$8+1,0)</f>
        <v>0</v>
      </c>
      <c r="F37" s="9">
        <f>IF(Model!F3&gt;=$C$8,Model!F3-$C$8+1,0)</f>
        <v>0</v>
      </c>
      <c r="G37" s="9">
        <f>IF(Model!G3&gt;=$C$8,Model!G3-$C$8+1,0)</f>
        <v>1</v>
      </c>
      <c r="H37" s="9">
        <f>IF(Model!H3&gt;=$C$8,Model!H3-$C$8+1,0)</f>
        <v>2</v>
      </c>
      <c r="I37" s="9">
        <f>IF(Model!I3&gt;=$C$8,Model!I3-$C$8+1,0)</f>
        <v>3</v>
      </c>
      <c r="J37" s="9">
        <f>IF(Model!J3&gt;=$C$8,Model!J3-$C$8+1,0)</f>
        <v>4</v>
      </c>
      <c r="K37" s="9">
        <f>IF(Model!K3&gt;=$C$8,Model!K3-$C$8+1,0)</f>
        <v>5</v>
      </c>
      <c r="L37" s="9">
        <f>IF(Model!L3&gt;=$C$8,Model!L3-$C$8+1,0)</f>
        <v>6</v>
      </c>
      <c r="M37" s="9">
        <f>IF(Model!M3&gt;=$C$8,Model!M3-$C$8+1,0)</f>
        <v>7</v>
      </c>
      <c r="N37" s="9">
        <f>IF(Model!N3&gt;=$C$8,Model!N3-$C$8+1,0)</f>
        <v>8</v>
      </c>
      <c r="O37" s="9">
        <f>IF(Model!O3&gt;=$C$8,Model!O3-$C$8+1,0)</f>
        <v>9</v>
      </c>
      <c r="P37" s="9">
        <f>IF(Model!P3&gt;=$C$8,Model!P3-$C$8+1,0)</f>
        <v>10</v>
      </c>
      <c r="Q37" s="9">
        <f>IF(Model!Q3&gt;=$C$8,Model!Q3-$C$8+1,0)</f>
        <v>11</v>
      </c>
      <c r="R37" s="9">
        <f>IF(Model!R3&gt;=$C$8,Model!R3-$C$8+1,0)</f>
        <v>12</v>
      </c>
      <c r="S37" s="9">
        <f>IF(Model!S3&gt;=$C$8,Model!S3-$C$8+1,0)</f>
        <v>13</v>
      </c>
      <c r="T37" s="9">
        <f>IF(Model!T3&gt;=$C$8,Model!T3-$C$8+1,0)</f>
        <v>14</v>
      </c>
      <c r="U37" s="9">
        <f>IF(Model!U3&gt;=$C$8,Model!U3-$C$8+1,0)</f>
        <v>15</v>
      </c>
      <c r="V37" s="9">
        <f>IF(Model!V3&gt;=$C$8,Model!V3-$C$8+1,0)</f>
        <v>16</v>
      </c>
      <c r="W37" s="9">
        <f>IF(Model!W3&gt;=$C$8,Model!W3-$C$8+1,0)</f>
        <v>17</v>
      </c>
      <c r="X37" s="9">
        <f>IF(Model!X3&gt;=$C$8,Model!X3-$C$8+1,0)</f>
        <v>18</v>
      </c>
      <c r="Y37" s="9">
        <f>IF(Model!Y3&gt;=$C$8,Model!Y3-$C$8+1,0)</f>
        <v>19</v>
      </c>
      <c r="Z37" s="9">
        <f>IF(Model!Z3&gt;=$C$8,Model!Z3-$C$8+1,0)</f>
        <v>20</v>
      </c>
      <c r="AA37" s="9">
        <f>IF(Model!AA3&gt;=$C$8,Model!AA3-$C$8+1,0)</f>
        <v>21</v>
      </c>
      <c r="AB37" s="9">
        <f>IF(Model!AB3&gt;=$C$8,Model!AB3-$C$8+1,0)</f>
        <v>22</v>
      </c>
      <c r="AC37" s="9">
        <f>IF(Model!AC3&gt;=$C$8,Model!AC3-$C$8+1,0)</f>
        <v>23</v>
      </c>
      <c r="AD37" s="9">
        <f>IF(Model!AD3&gt;=$C$8,Model!AD3-$C$8+1,0)</f>
        <v>24</v>
      </c>
      <c r="AE37" s="9">
        <f>IF(Model!AE3&gt;=$C$8,Model!AE3-$C$8+1,0)</f>
        <v>25</v>
      </c>
      <c r="AF37" s="9">
        <f>IF(Model!AF3&gt;=$C$8,Model!AF3-$C$8+1,0)</f>
        <v>26</v>
      </c>
      <c r="AG37" s="9">
        <f>IF(Model!AG3&gt;=$C$8,Model!AG3-$C$8+1,0)</f>
        <v>27</v>
      </c>
    </row>
    <row r="38" spans="1:33" ht="15" customHeight="1" x14ac:dyDescent="0.3">
      <c r="A38" s="9" t="s">
        <v>330</v>
      </c>
      <c r="D38" s="21">
        <f>IF(Model!D3&lt;=4,$B$8*INDEX(Assumptions!$B$24:$E$24,Model!D3),0)*(1+Assumptions!$B$76)</f>
        <v>1.6</v>
      </c>
      <c r="E38" s="21">
        <f>IF(Model!E3&lt;=4,$B$8*INDEX(Assumptions!$B$24:$E$24,Model!E3),0)*(1+Assumptions!$B$76)</f>
        <v>4.8</v>
      </c>
      <c r="F38" s="21">
        <f>IF(Model!F3&lt;=4,$B$8*INDEX(Assumptions!$B$24:$E$24,Model!F3),0)*(1+Assumptions!$B$76)</f>
        <v>6.4</v>
      </c>
      <c r="G38" s="21">
        <f>IF(Model!G3&lt;=4,$B$8*INDEX(Assumptions!$B$24:$E$24,Model!G3),0)*(1+Assumptions!$B$76)</f>
        <v>3.2</v>
      </c>
      <c r="H38" s="21">
        <f>IF(Model!H3&lt;=4,$B$8*INDEX(Assumptions!$B$24:$E$24,Model!H3),0)*(1+Assumptions!$B$76)</f>
        <v>0</v>
      </c>
      <c r="I38" s="21">
        <f>IF(Model!I3&lt;=4,$B$8*INDEX(Assumptions!$B$24:$E$24,Model!I3),0)*(1+Assumptions!$B$76)</f>
        <v>0</v>
      </c>
      <c r="J38" s="21">
        <f>IF(Model!J3&lt;=4,$B$8*INDEX(Assumptions!$B$24:$E$24,Model!J3),0)*(1+Assumptions!$B$76)</f>
        <v>0</v>
      </c>
      <c r="K38" s="21">
        <f>IF(Model!K3&lt;=4,$B$8*INDEX(Assumptions!$B$24:$E$24,Model!K3),0)*(1+Assumptions!$B$76)</f>
        <v>0</v>
      </c>
      <c r="L38" s="21">
        <f>IF(Model!L3&lt;=4,$B$8*INDEX(Assumptions!$B$24:$E$24,Model!L3),0)*(1+Assumptions!$B$76)</f>
        <v>0</v>
      </c>
      <c r="M38" s="21">
        <f>IF(Model!M3&lt;=4,$B$8*INDEX(Assumptions!$B$24:$E$24,Model!M3),0)*(1+Assumptions!$B$76)</f>
        <v>0</v>
      </c>
      <c r="N38" s="21">
        <f>IF(Model!N3&lt;=4,$B$8*INDEX(Assumptions!$B$24:$E$24,Model!N3),0)*(1+Assumptions!$B$76)</f>
        <v>0</v>
      </c>
      <c r="O38" s="21">
        <f>IF(Model!O3&lt;=4,$B$8*INDEX(Assumptions!$B$24:$E$24,Model!O3),0)*(1+Assumptions!$B$76)</f>
        <v>0</v>
      </c>
      <c r="P38" s="21">
        <f>IF(Model!P3&lt;=4,$B$8*INDEX(Assumptions!$B$24:$E$24,Model!P3),0)*(1+Assumptions!$B$76)</f>
        <v>0</v>
      </c>
      <c r="Q38" s="21">
        <f>IF(Model!Q3&lt;=4,$B$8*INDEX(Assumptions!$B$24:$E$24,Model!Q3),0)*(1+Assumptions!$B$76)</f>
        <v>0</v>
      </c>
      <c r="R38" s="21">
        <f>IF(Model!R3&lt;=4,$B$8*INDEX(Assumptions!$B$24:$E$24,Model!R3),0)*(1+Assumptions!$B$76)</f>
        <v>0</v>
      </c>
      <c r="S38" s="21">
        <f>IF(Model!S3&lt;=4,$B$8*INDEX(Assumptions!$B$24:$E$24,Model!S3),0)*(1+Assumptions!$B$76)</f>
        <v>0</v>
      </c>
      <c r="T38" s="21">
        <f>IF(Model!T3&lt;=4,$B$8*INDEX(Assumptions!$B$24:$E$24,Model!T3),0)*(1+Assumptions!$B$76)</f>
        <v>0</v>
      </c>
      <c r="U38" s="21">
        <f>IF(Model!U3&lt;=4,$B$8*INDEX(Assumptions!$B$24:$E$24,Model!U3),0)*(1+Assumptions!$B$76)</f>
        <v>0</v>
      </c>
      <c r="V38" s="21">
        <f>IF(Model!V3&lt;=4,$B$8*INDEX(Assumptions!$B$24:$E$24,Model!V3),0)*(1+Assumptions!$B$76)</f>
        <v>0</v>
      </c>
      <c r="W38" s="21">
        <f>IF(Model!W3&lt;=4,$B$8*INDEX(Assumptions!$B$24:$E$24,Model!W3),0)*(1+Assumptions!$B$76)</f>
        <v>0</v>
      </c>
      <c r="X38" s="21">
        <f>IF(Model!X3&lt;=4,$B$8*INDEX(Assumptions!$B$24:$E$24,Model!X3),0)*(1+Assumptions!$B$76)</f>
        <v>0</v>
      </c>
      <c r="Y38" s="21">
        <f>IF(Model!Y3&lt;=4,$B$8*INDEX(Assumptions!$B$24:$E$24,Model!Y3),0)*(1+Assumptions!$B$76)</f>
        <v>0</v>
      </c>
      <c r="Z38" s="21">
        <f>IF(Model!Z3&lt;=4,$B$8*INDEX(Assumptions!$B$24:$E$24,Model!Z3),0)*(1+Assumptions!$B$76)</f>
        <v>0</v>
      </c>
      <c r="AA38" s="21">
        <f>IF(Model!AA3&lt;=4,$B$8*INDEX(Assumptions!$B$24:$E$24,Model!AA3),0)*(1+Assumptions!$B$76)</f>
        <v>0</v>
      </c>
      <c r="AB38" s="21">
        <f>IF(Model!AB3&lt;=4,$B$8*INDEX(Assumptions!$B$24:$E$24,Model!AB3),0)*(1+Assumptions!$B$76)</f>
        <v>0</v>
      </c>
      <c r="AC38" s="21">
        <f>IF(Model!AC3&lt;=4,$B$8*INDEX(Assumptions!$B$24:$E$24,Model!AC3),0)*(1+Assumptions!$B$76)</f>
        <v>0</v>
      </c>
      <c r="AD38" s="21">
        <f>IF(Model!AD3&lt;=4,$B$8*INDEX(Assumptions!$B$24:$E$24,Model!AD3),0)*(1+Assumptions!$B$76)</f>
        <v>0</v>
      </c>
      <c r="AE38" s="21">
        <f>IF(Model!AE3&lt;=4,$B$8*INDEX(Assumptions!$B$24:$E$24,Model!AE3),0)*(1+Assumptions!$B$76)</f>
        <v>0</v>
      </c>
      <c r="AF38" s="21">
        <f>IF(Model!AF3&lt;=4,$B$8*INDEX(Assumptions!$B$24:$E$24,Model!AF3),0)*(1+Assumptions!$B$76)</f>
        <v>0</v>
      </c>
      <c r="AG38" s="21">
        <f>IF(Model!AG3&lt;=4,$B$8*INDEX(Assumptions!$B$24:$E$24,Model!AG3),0)*(1+Assumptions!$B$76)</f>
        <v>0</v>
      </c>
    </row>
    <row r="39" spans="1:33" ht="15" customHeight="1" x14ac:dyDescent="0.3">
      <c r="A39" s="9" t="s">
        <v>331</v>
      </c>
      <c r="D39" s="21">
        <f>$D$8*$E$8*(1+Assumptions!$B$75)*IF(D37&lt;=0,0,INDEX(Assumptions!$B$57:$F$57,MIN(D37,5)))*8760*$F$8*(1+Assumptions!$B$71)^(Model!D3-1)*Assumptions!$B$80/1000000</f>
        <v>0</v>
      </c>
      <c r="E39" s="21">
        <f>$D$8*$E$8*(1+Assumptions!$B$75)*IF(E37&lt;=0,0,INDEX(Assumptions!$B$57:$F$57,MIN(E37,5)))*8760*$F$8*(1+Assumptions!$B$71)^(Model!E3-1)*Assumptions!$B$80/1000000</f>
        <v>0</v>
      </c>
      <c r="F39" s="21">
        <f>$D$8*$E$8*(1+Assumptions!$B$75)*IF(F37&lt;=0,0,INDEX(Assumptions!$B$57:$F$57,MIN(F37,5)))*8760*$F$8*(1+Assumptions!$B$71)^(Model!F3-1)*Assumptions!$B$80/1000000</f>
        <v>0</v>
      </c>
      <c r="G39" s="21">
        <f>$D$8*$E$8*(1+Assumptions!$B$75)*IF(G37&lt;=0,0,INDEX(Assumptions!$B$57:$F$57,MIN(G37,5)))*8760*$F$8*(1+Assumptions!$B$71)^(Model!G3-1)*Assumptions!$B$80/1000000</f>
        <v>1.7478786448856247</v>
      </c>
      <c r="H39" s="21">
        <f>$D$8*$E$8*(1+Assumptions!$B$75)*IF(H37&lt;=0,0,INDEX(Assumptions!$B$57:$F$57,MIN(H37,5)))*8760*$F$8*(1+Assumptions!$B$71)^(Model!H3-1)*Assumptions!$B$80/1000000</f>
        <v>2.0901715461757262</v>
      </c>
      <c r="I39" s="21">
        <f>$D$8*$E$8*(1+Assumptions!$B$75)*IF(I37&lt;=0,0,INDEX(Assumptions!$B$57:$F$57,MIN(I37,5)))*8760*$F$8*(1+Assumptions!$B$71)^(Model!I3-1)*Assumptions!$B$80/1000000</f>
        <v>2.6015170851508582</v>
      </c>
      <c r="J39" s="21">
        <f>$D$8*$E$8*(1+Assumptions!$B$75)*IF(J37&lt;=0,0,INDEX(Assumptions!$B$57:$F$57,MIN(J37,5)))*8760*$F$8*(1+Assumptions!$B$71)^(Model!J3-1)*Assumptions!$B$80/1000000</f>
        <v>2.9802673666654691</v>
      </c>
      <c r="K39" s="21">
        <f>$D$8*$E$8*(1+Assumptions!$B$75)*IF(K37&lt;=0,0,INDEX(Assumptions!$B$57:$F$57,MIN(K37,5)))*8760*$F$8*(1+Assumptions!$B$71)^(Model!K3-1)*Assumptions!$B$80/1000000</f>
        <v>3.2155516324548485</v>
      </c>
      <c r="L39" s="21">
        <f>$D$8*$E$8*(1+Assumptions!$B$75)*IF(L37&lt;=0,0,INDEX(Assumptions!$B$57:$F$57,MIN(L37,5)))*8760*$F$8*(1+Assumptions!$B$71)^(Model!L3-1)*Assumptions!$B$80/1000000</f>
        <v>3.2959404232662193</v>
      </c>
      <c r="M39" s="21">
        <f>$D$8*$E$8*(1+Assumptions!$B$75)*IF(M37&lt;=0,0,INDEX(Assumptions!$B$57:$F$57,MIN(M37,5)))*8760*$F$8*(1+Assumptions!$B$71)^(Model!M3-1)*Assumptions!$B$80/1000000</f>
        <v>3.378338933847874</v>
      </c>
      <c r="N39" s="21">
        <f>$D$8*$E$8*(1+Assumptions!$B$75)*IF(N37&lt;=0,0,INDEX(Assumptions!$B$57:$F$57,MIN(N37,5)))*8760*$F$8*(1+Assumptions!$B$71)^(Model!N3-1)*Assumptions!$B$80/1000000</f>
        <v>3.462797407194071</v>
      </c>
      <c r="O39" s="21">
        <f>$D$8*$E$8*(1+Assumptions!$B$75)*IF(O37&lt;=0,0,INDEX(Assumptions!$B$57:$F$57,MIN(O37,5)))*8760*$F$8*(1+Assumptions!$B$71)^(Model!O3-1)*Assumptions!$B$80/1000000</f>
        <v>3.5493673423739223</v>
      </c>
      <c r="P39" s="21">
        <f>$D$8*$E$8*(1+Assumptions!$B$75)*IF(P37&lt;=0,0,INDEX(Assumptions!$B$57:$F$57,MIN(P37,5)))*8760*$F$8*(1+Assumptions!$B$71)^(Model!P3-1)*Assumptions!$B$80/1000000</f>
        <v>3.6381015259332705</v>
      </c>
      <c r="Q39" s="21">
        <f>$D$8*$E$8*(1+Assumptions!$B$75)*IF(Q37&lt;=0,0,INDEX(Assumptions!$B$57:$F$57,MIN(Q37,5)))*8760*$F$8*(1+Assumptions!$B$71)^(Model!Q3-1)*Assumptions!$B$80/1000000</f>
        <v>3.7290540640816023</v>
      </c>
      <c r="R39" s="21">
        <f>$D$8*$E$8*(1+Assumptions!$B$75)*IF(R37&lt;=0,0,INDEX(Assumptions!$B$57:$F$57,MIN(R37,5)))*8760*$F$8*(1+Assumptions!$B$71)^(Model!R3-1)*Assumptions!$B$80/1000000</f>
        <v>3.8222804156836419</v>
      </c>
      <c r="S39" s="21">
        <f>$D$8*$E$8*(1+Assumptions!$B$75)*IF(S37&lt;=0,0,INDEX(Assumptions!$B$57:$F$57,MIN(S37,5)))*8760*$F$8*(1+Assumptions!$B$71)^(Model!S3-1)*Assumptions!$B$80/1000000</f>
        <v>3.9178374260757329</v>
      </c>
      <c r="T39" s="21">
        <f>$D$8*$E$8*(1+Assumptions!$B$75)*IF(T37&lt;=0,0,INDEX(Assumptions!$B$57:$F$57,MIN(T37,5)))*8760*$F$8*(1+Assumptions!$B$71)^(Model!T3-1)*Assumptions!$B$80/1000000</f>
        <v>4.0157833617276264</v>
      </c>
      <c r="U39" s="21">
        <f>$D$8*$E$8*(1+Assumptions!$B$75)*IF(U37&lt;=0,0,INDEX(Assumptions!$B$57:$F$57,MIN(U37,5)))*8760*$F$8*(1+Assumptions!$B$71)^(Model!U3-1)*Assumptions!$B$80/1000000</f>
        <v>4.1161779457708167</v>
      </c>
      <c r="V39" s="21">
        <f>$D$8*$E$8*(1+Assumptions!$B$75)*IF(V37&lt;=0,0,INDEX(Assumptions!$B$57:$F$57,MIN(V37,5)))*8760*$F$8*(1+Assumptions!$B$71)^(Model!V3-1)*Assumptions!$B$80/1000000</f>
        <v>4.2190823944150875</v>
      </c>
      <c r="W39" s="21">
        <f>$D$8*$E$8*(1+Assumptions!$B$75)*IF(W37&lt;=0,0,INDEX(Assumptions!$B$57:$F$57,MIN(W37,5)))*8760*$F$8*(1+Assumptions!$B$71)^(Model!W3-1)*Assumptions!$B$80/1000000</f>
        <v>4.3245594542754633</v>
      </c>
      <c r="X39" s="21">
        <f>$D$8*$E$8*(1+Assumptions!$B$75)*IF(X37&lt;=0,0,INDEX(Assumptions!$B$57:$F$57,MIN(X37,5)))*8760*$F$8*(1+Assumptions!$B$71)^(Model!X3-1)*Assumptions!$B$80/1000000</f>
        <v>4.4326734406323496</v>
      </c>
      <c r="Y39" s="21">
        <f>$D$8*$E$8*(1+Assumptions!$B$75)*IF(Y37&lt;=0,0,INDEX(Assumptions!$B$57:$F$57,MIN(Y37,5)))*8760*$F$8*(1+Assumptions!$B$71)^(Model!Y3-1)*Assumptions!$B$80/1000000</f>
        <v>4.543490276648158</v>
      </c>
      <c r="Z39" s="21">
        <f>$D$8*$E$8*(1+Assumptions!$B$75)*IF(Z37&lt;=0,0,INDEX(Assumptions!$B$57:$F$57,MIN(Z37,5)))*8760*$F$8*(1+Assumptions!$B$71)^(Model!Z3-1)*Assumptions!$B$80/1000000</f>
        <v>4.6570775335643617</v>
      </c>
      <c r="AA39" s="21">
        <f>$D$8*$E$8*(1+Assumptions!$B$75)*IF(AA37&lt;=0,0,INDEX(Assumptions!$B$57:$F$57,MIN(AA37,5)))*8760*$F$8*(1+Assumptions!$B$71)^(Model!AA3-1)*Assumptions!$B$80/1000000</f>
        <v>4.7735044719034709</v>
      </c>
      <c r="AB39" s="21">
        <f>$D$8*$E$8*(1+Assumptions!$B$75)*IF(AB37&lt;=0,0,INDEX(Assumptions!$B$57:$F$57,MIN(AB37,5)))*8760*$F$8*(1+Assumptions!$B$71)^(Model!AB3-1)*Assumptions!$B$80/1000000</f>
        <v>4.8928420837010584</v>
      </c>
      <c r="AC39" s="21">
        <f>$D$8*$E$8*(1+Assumptions!$B$75)*IF(AC37&lt;=0,0,INDEX(Assumptions!$B$57:$F$57,MIN(AC37,5)))*8760*$F$8*(1+Assumptions!$B$71)^(Model!AC3-1)*Assumptions!$B$80/1000000</f>
        <v>5.0151631357935837</v>
      </c>
      <c r="AD39" s="21">
        <f>$D$8*$E$8*(1+Assumptions!$B$75)*IF(AD37&lt;=0,0,INDEX(Assumptions!$B$57:$F$57,MIN(AD37,5)))*8760*$F$8*(1+Assumptions!$B$71)^(Model!AD3-1)*Assumptions!$B$80/1000000</f>
        <v>5.1405422141884225</v>
      </c>
      <c r="AE39" s="21">
        <f>$D$8*$E$8*(1+Assumptions!$B$75)*IF(AE37&lt;=0,0,INDEX(Assumptions!$B$57:$F$57,MIN(AE37,5)))*8760*$F$8*(1+Assumptions!$B$71)^(Model!AE3-1)*Assumptions!$B$80/1000000</f>
        <v>5.269055769543133</v>
      </c>
      <c r="AF39" s="21">
        <f>$D$8*$E$8*(1+Assumptions!$B$75)*IF(AF37&lt;=0,0,INDEX(Assumptions!$B$57:$F$57,MIN(AF37,5)))*8760*$F$8*(1+Assumptions!$B$71)^(Model!AF3-1)*Assumptions!$B$80/1000000</f>
        <v>5.4007821637817113</v>
      </c>
      <c r="AG39" s="21">
        <f>$D$8*$E$8*(1+Assumptions!$B$75)*IF(AG37&lt;=0,0,INDEX(Assumptions!$B$57:$F$57,MIN(AG37,5)))*8760*$F$8*(1+Assumptions!$B$71)^(Model!AG3-1)*Assumptions!$B$80/1000000</f>
        <v>5.5358017178762546</v>
      </c>
    </row>
    <row r="40" spans="1:33" ht="15" customHeight="1" x14ac:dyDescent="0.3">
      <c r="A40" s="9" t="s">
        <v>332</v>
      </c>
      <c r="D40" s="21">
        <f>$G$8*(IF(D37&lt;=0,0,IF(D37&lt;=5,$H$8/5*D37,IF(D37&lt;=10,$H$8+($I$8-$H$8)*(D37-5)/5,$I$8))))*365*(1+Assumptions!$B$75)*$J$8*(1+Assumptions!$B$71)^(Model!D3-1)*Assumptions!$B$80/1000000</f>
        <v>0</v>
      </c>
      <c r="E40" s="21">
        <f>$G$8*(IF(E37&lt;=0,0,IF(E37&lt;=5,$H$8/5*E37,IF(E37&lt;=10,$H$8+($I$8-$H$8)*(E37-5)/5,$I$8))))*365*(1+Assumptions!$B$75)*$J$8*(1+Assumptions!$B$71)^(Model!E3-1)*Assumptions!$B$80/1000000</f>
        <v>0</v>
      </c>
      <c r="F40" s="21">
        <f>$G$8*(IF(F37&lt;=0,0,IF(F37&lt;=5,$H$8/5*F37,IF(F37&lt;=10,$H$8+($I$8-$H$8)*(F37-5)/5,$I$8))))*365*(1+Assumptions!$B$75)*$J$8*(1+Assumptions!$B$71)^(Model!F3-1)*Assumptions!$B$80/1000000</f>
        <v>0</v>
      </c>
      <c r="G40" s="21">
        <f>$G$8*(IF(G37&lt;=0,0,IF(G37&lt;=5,$H$8/5*G37,IF(G37&lt;=10,$H$8+($I$8-$H$8)*(G37-5)/5,$I$8))))*365*(1+Assumptions!$B$75)*$J$8*(1+Assumptions!$B$71)^(Model!G3-1)*Assumptions!$B$80/1000000</f>
        <v>5.6129693156249993E-2</v>
      </c>
      <c r="H40" s="21">
        <f>$G$8*(IF(H37&lt;=0,0,IF(H37&lt;=5,$H$8/5*H37,IF(H37&lt;=10,$H$8+($I$8-$H$8)*(H37-5)/5,$I$8))))*365*(1+Assumptions!$B$75)*$J$8*(1+Assumptions!$B$71)^(Model!H3-1)*Assumptions!$B$80/1000000</f>
        <v>0.1150658709703125</v>
      </c>
      <c r="I40" s="21">
        <f>$G$8*(IF(I37&lt;=0,0,IF(I37&lt;=5,$H$8/5*I37,IF(I37&lt;=10,$H$8+($I$8-$H$8)*(I37-5)/5,$I$8))))*365*(1+Assumptions!$B$75)*$J$8*(1+Assumptions!$B$71)^(Model!I3-1)*Assumptions!$B$80/1000000</f>
        <v>0.17691377661685539</v>
      </c>
      <c r="J40" s="21">
        <f>$G$8*(IF(J37&lt;=0,0,IF(J37&lt;=5,$H$8/5*J37,IF(J37&lt;=10,$H$8+($I$8-$H$8)*(J37-5)/5,$I$8))))*365*(1+Assumptions!$B$75)*$J$8*(1+Assumptions!$B$71)^(Model!J3-1)*Assumptions!$B$80/1000000</f>
        <v>0.24178216137636907</v>
      </c>
      <c r="K40" s="21">
        <f>$G$8*(IF(K37&lt;=0,0,IF(K37&lt;=5,$H$8/5*K37,IF(K37&lt;=10,$H$8+($I$8-$H$8)*(K37-5)/5,$I$8))))*365*(1+Assumptions!$B$75)*$J$8*(1+Assumptions!$B$71)^(Model!K3-1)*Assumptions!$B$80/1000000</f>
        <v>0.3097833942634729</v>
      </c>
      <c r="L40" s="21">
        <f>$G$8*(IF(L37&lt;=0,0,IF(L37&lt;=5,$H$8/5*L37,IF(L37&lt;=10,$H$8+($I$8-$H$8)*(L37-5)/5,$I$8))))*365*(1+Assumptions!$B$75)*$J$8*(1+Assumptions!$B$71)^(Model!L3-1)*Assumptions!$B$80/1000000</f>
        <v>0.35721897651006712</v>
      </c>
      <c r="M40" s="21">
        <f>$G$8*(IF(M37&lt;=0,0,IF(M37&lt;=5,$H$8/5*M37,IF(M37&lt;=10,$H$8+($I$8-$H$8)*(M37-5)/5,$I$8))))*365*(1+Assumptions!$B$75)*$J$8*(1+Assumptions!$B$71)^(Model!M3-1)*Assumptions!$B$80/1000000</f>
        <v>0.40683272324757636</v>
      </c>
      <c r="N40" s="21">
        <f>$G$8*(IF(N37&lt;=0,0,IF(N37&lt;=5,$H$8/5*N37,IF(N37&lt;=10,$H$8+($I$8-$H$8)*(N37-5)/5,$I$8))))*365*(1+Assumptions!$B$75)*$J$8*(1+Assumptions!$B$71)^(Model!N3-1)*Assumptions!$B$80/1000000</f>
        <v>0.45870389546164242</v>
      </c>
      <c r="O40" s="21">
        <f>$G$8*(IF(O37&lt;=0,0,IF(O37&lt;=5,$H$8/5*O37,IF(O37&lt;=10,$H$8+($I$8-$H$8)*(O37-5)/5,$I$8))))*365*(1+Assumptions!$B$75)*$J$8*(1+Assumptions!$B$71)^(Model!O3-1)*Assumptions!$B$80/1000000</f>
        <v>0.51291435583438194</v>
      </c>
      <c r="P40" s="21">
        <f>$G$8*(IF(P37&lt;=0,0,IF(P37&lt;=5,$H$8/5*P37,IF(P37&lt;=10,$H$8+($I$8-$H$8)*(P37-5)/5,$I$8))))*365*(1+Assumptions!$B$75)*$J$8*(1+Assumptions!$B$71)^(Model!P3-1)*Assumptions!$B$80/1000000</f>
        <v>0.56954864929109494</v>
      </c>
      <c r="Q40" s="21">
        <f>$G$8*(IF(Q37&lt;=0,0,IF(Q37&lt;=5,$H$8/5*Q37,IF(Q37&lt;=10,$H$8+($I$8-$H$8)*(Q37-5)/5,$I$8))))*365*(1+Assumptions!$B$75)*$J$8*(1+Assumptions!$B$71)^(Model!Q3-1)*Assumptions!$B$80/1000000</f>
        <v>0.58378736552337218</v>
      </c>
      <c r="R40" s="21">
        <f>$G$8*(IF(R37&lt;=0,0,IF(R37&lt;=5,$H$8/5*R37,IF(R37&lt;=10,$H$8+($I$8-$H$8)*(R37-5)/5,$I$8))))*365*(1+Assumptions!$B$75)*$J$8*(1+Assumptions!$B$71)^(Model!R3-1)*Assumptions!$B$80/1000000</f>
        <v>0.59838204966145647</v>
      </c>
      <c r="S40" s="21">
        <f>$G$8*(IF(S37&lt;=0,0,IF(S37&lt;=5,$H$8/5*S37,IF(S37&lt;=10,$H$8+($I$8-$H$8)*(S37-5)/5,$I$8))))*365*(1+Assumptions!$B$75)*$J$8*(1+Assumptions!$B$71)^(Model!S3-1)*Assumptions!$B$80/1000000</f>
        <v>0.61334160090299294</v>
      </c>
      <c r="T40" s="21">
        <f>$G$8*(IF(T37&lt;=0,0,IF(T37&lt;=5,$H$8/5*T37,IF(T37&lt;=10,$H$8+($I$8-$H$8)*(T37-5)/5,$I$8))))*365*(1+Assumptions!$B$75)*$J$8*(1+Assumptions!$B$71)^(Model!T3-1)*Assumptions!$B$80/1000000</f>
        <v>0.62867514092556787</v>
      </c>
      <c r="U40" s="21">
        <f>$G$8*(IF(U37&lt;=0,0,IF(U37&lt;=5,$H$8/5*U37,IF(U37&lt;=10,$H$8+($I$8-$H$8)*(U37-5)/5,$I$8))))*365*(1+Assumptions!$B$75)*$J$8*(1+Assumptions!$B$71)^(Model!U3-1)*Assumptions!$B$80/1000000</f>
        <v>0.64439201944870683</v>
      </c>
      <c r="V40" s="21">
        <f>$G$8*(IF(V37&lt;=0,0,IF(V37&lt;=5,$H$8/5*V37,IF(V37&lt;=10,$H$8+($I$8-$H$8)*(V37-5)/5,$I$8))))*365*(1+Assumptions!$B$75)*$J$8*(1+Assumptions!$B$71)^(Model!V3-1)*Assumptions!$B$80/1000000</f>
        <v>0.66050181993492463</v>
      </c>
      <c r="W40" s="21">
        <f>$G$8*(IF(W37&lt;=0,0,IF(W37&lt;=5,$H$8/5*W37,IF(W37&lt;=10,$H$8+($I$8-$H$8)*(W37-5)/5,$I$8))))*365*(1+Assumptions!$B$75)*$J$8*(1+Assumptions!$B$71)^(Model!W3-1)*Assumptions!$B$80/1000000</f>
        <v>0.67701436543329774</v>
      </c>
      <c r="X40" s="21">
        <f>$G$8*(IF(X37&lt;=0,0,IF(X37&lt;=5,$H$8/5*X37,IF(X37&lt;=10,$H$8+($I$8-$H$8)*(X37-5)/5,$I$8))))*365*(1+Assumptions!$B$75)*$J$8*(1+Assumptions!$B$71)^(Model!X3-1)*Assumptions!$B$80/1000000</f>
        <v>0.69393972456913</v>
      </c>
      <c r="Y40" s="21">
        <f>$G$8*(IF(Y37&lt;=0,0,IF(Y37&lt;=5,$H$8/5*Y37,IF(Y37&lt;=10,$H$8+($I$8-$H$8)*(Y37-5)/5,$I$8))))*365*(1+Assumptions!$B$75)*$J$8*(1+Assumptions!$B$71)^(Model!Y3-1)*Assumptions!$B$80/1000000</f>
        <v>0.71128821768335826</v>
      </c>
      <c r="Z40" s="21">
        <f>$G$8*(IF(Z37&lt;=0,0,IF(Z37&lt;=5,$H$8/5*Z37,IF(Z37&lt;=10,$H$8+($I$8-$H$8)*(Z37-5)/5,$I$8))))*365*(1+Assumptions!$B$75)*$J$8*(1+Assumptions!$B$71)^(Model!Z3-1)*Assumptions!$B$80/1000000</f>
        <v>0.72907042312544212</v>
      </c>
      <c r="AA40" s="21">
        <f>$G$8*(IF(AA37&lt;=0,0,IF(AA37&lt;=5,$H$8/5*AA37,IF(AA37&lt;=10,$H$8+($I$8-$H$8)*(AA37-5)/5,$I$8))))*365*(1+Assumptions!$B$75)*$J$8*(1+Assumptions!$B$71)^(Model!AA3-1)*Assumptions!$B$80/1000000</f>
        <v>0.74729718370357823</v>
      </c>
      <c r="AB40" s="21">
        <f>$G$8*(IF(AB37&lt;=0,0,IF(AB37&lt;=5,$H$8/5*AB37,IF(AB37&lt;=10,$H$8+($I$8-$H$8)*(AB37-5)/5,$I$8))))*365*(1+Assumptions!$B$75)*$J$8*(1+Assumptions!$B$71)^(Model!AB3-1)*Assumptions!$B$80/1000000</f>
        <v>0.76597961329616759</v>
      </c>
      <c r="AC40" s="21">
        <f>$G$8*(IF(AC37&lt;=0,0,IF(AC37&lt;=5,$H$8/5*AC37,IF(AC37&lt;=10,$H$8+($I$8-$H$8)*(AC37-5)/5,$I$8))))*365*(1+Assumptions!$B$75)*$J$8*(1+Assumptions!$B$71)^(Model!AC3-1)*Assumptions!$B$80/1000000</f>
        <v>0.78512910362857169</v>
      </c>
      <c r="AD40" s="21">
        <f>$G$8*(IF(AD37&lt;=0,0,IF(AD37&lt;=5,$H$8/5*AD37,IF(AD37&lt;=10,$H$8+($I$8-$H$8)*(AD37-5)/5,$I$8))))*365*(1+Assumptions!$B$75)*$J$8*(1+Assumptions!$B$71)^(Model!AD3-1)*Assumptions!$B$80/1000000</f>
        <v>0.80475733121928594</v>
      </c>
      <c r="AE40" s="21">
        <f>$G$8*(IF(AE37&lt;=0,0,IF(AE37&lt;=5,$H$8/5*AE37,IF(AE37&lt;=10,$H$8+($I$8-$H$8)*(AE37-5)/5,$I$8))))*365*(1+Assumptions!$B$75)*$J$8*(1+Assumptions!$B$71)^(Model!AE3-1)*Assumptions!$B$80/1000000</f>
        <v>0.82487626449976803</v>
      </c>
      <c r="AF40" s="21">
        <f>$G$8*(IF(AF37&lt;=0,0,IF(AF37&lt;=5,$H$8/5*AF37,IF(AF37&lt;=10,$H$8+($I$8-$H$8)*(AF37-5)/5,$I$8))))*365*(1+Assumptions!$B$75)*$J$8*(1+Assumptions!$B$71)^(Model!AF3-1)*Assumptions!$B$80/1000000</f>
        <v>0.84549817111226222</v>
      </c>
      <c r="AG40" s="21">
        <f>$G$8*(IF(AG37&lt;=0,0,IF(AG37&lt;=5,$H$8/5*AG37,IF(AG37&lt;=10,$H$8+($I$8-$H$8)*(AG37-5)/5,$I$8))))*365*(1+Assumptions!$B$75)*$J$8*(1+Assumptions!$B$71)^(Model!AG3-1)*Assumptions!$B$80/1000000</f>
        <v>0.86663562539006889</v>
      </c>
    </row>
    <row r="41" spans="1:33" ht="15" customHeight="1" x14ac:dyDescent="0.3">
      <c r="A41" s="9" t="s">
        <v>333</v>
      </c>
      <c r="D41" s="21">
        <f>$L$8*IF(D37&lt;=0,0,INDEX(Assumptions!$B$57:$F$57,MIN(D37,5)))*(1+Assumptions!$B$71)^(Model!D3-1)</f>
        <v>0</v>
      </c>
      <c r="E41" s="21">
        <f>$L$8*IF(E37&lt;=0,0,INDEX(Assumptions!$B$57:$F$57,MIN(E37,5)))*(1+Assumptions!$B$71)^(Model!E3-1)</f>
        <v>0</v>
      </c>
      <c r="F41" s="21">
        <f>$L$8*IF(F37&lt;=0,0,INDEX(Assumptions!$B$57:$F$57,MIN(F37,5)))*(1+Assumptions!$B$71)^(Model!F3-1)</f>
        <v>0</v>
      </c>
      <c r="G41" s="21">
        <f>$L$8*IF(G37&lt;=0,0,INDEX(Assumptions!$B$57:$F$57,MIN(G37,5)))*(1+Assumptions!$B$71)^(Model!G3-1)</f>
        <v>0.31014449999999993</v>
      </c>
      <c r="H41" s="21">
        <f>$L$8*IF(H37&lt;=0,0,INDEX(Assumptions!$B$57:$F$57,MIN(H37,5)))*(1+Assumptions!$B$71)^(Model!H3-1)</f>
        <v>0.37088113124999988</v>
      </c>
      <c r="I41" s="21">
        <f>$L$8*IF(I37&lt;=0,0,INDEX(Assumptions!$B$57:$F$57,MIN(I37,5)))*(1+Assumptions!$B$71)^(Model!I3-1)</f>
        <v>0.46161455085937481</v>
      </c>
      <c r="J41" s="21">
        <f>$L$8*IF(J37&lt;=0,0,INDEX(Assumptions!$B$57:$F$57,MIN(J37,5)))*(1+Assumptions!$B$71)^(Model!J3-1)</f>
        <v>0.5288201987050779</v>
      </c>
      <c r="K41" s="21">
        <f>$L$8*IF(K37&lt;=0,0,INDEX(Assumptions!$B$57:$F$57,MIN(K37,5)))*(1+Assumptions!$B$71)^(Model!K3-1)</f>
        <v>0.57056916176074202</v>
      </c>
      <c r="L41" s="21">
        <f>$L$8*IF(L37&lt;=0,0,INDEX(Assumptions!$B$57:$F$57,MIN(L37,5)))*(1+Assumptions!$B$71)^(Model!L3-1)</f>
        <v>0.58483339080476049</v>
      </c>
      <c r="M41" s="21">
        <f>$L$8*IF(M37&lt;=0,0,INDEX(Assumptions!$B$57:$F$57,MIN(M37,5)))*(1+Assumptions!$B$71)^(Model!M3-1)</f>
        <v>0.59945422557487937</v>
      </c>
      <c r="N41" s="21">
        <f>$L$8*IF(N37&lt;=0,0,INDEX(Assumptions!$B$57:$F$57,MIN(N37,5)))*(1+Assumptions!$B$71)^(Model!N3-1)</f>
        <v>0.61444058121425138</v>
      </c>
      <c r="O41" s="21">
        <f>$L$8*IF(O37&lt;=0,0,INDEX(Assumptions!$B$57:$F$57,MIN(O37,5)))*(1+Assumptions!$B$71)^(Model!O3-1)</f>
        <v>0.6298015957446077</v>
      </c>
      <c r="P41" s="21">
        <f>$L$8*IF(P37&lt;=0,0,INDEX(Assumptions!$B$57:$F$57,MIN(P37,5)))*(1+Assumptions!$B$71)^(Model!P3-1)</f>
        <v>0.64554663563822279</v>
      </c>
      <c r="Q41" s="21">
        <f>$L$8*IF(Q37&lt;=0,0,INDEX(Assumptions!$B$57:$F$57,MIN(Q37,5)))*(1+Assumptions!$B$71)^(Model!Q3-1)</f>
        <v>0.66168530152917837</v>
      </c>
      <c r="R41" s="21">
        <f>$L$8*IF(R37&lt;=0,0,INDEX(Assumptions!$B$57:$F$57,MIN(R37,5)))*(1+Assumptions!$B$71)^(Model!R3-1)</f>
        <v>0.67822743406740771</v>
      </c>
      <c r="S41" s="21">
        <f>$L$8*IF(S37&lt;=0,0,INDEX(Assumptions!$B$57:$F$57,MIN(S37,5)))*(1+Assumptions!$B$71)^(Model!S3-1)</f>
        <v>0.69518311991909298</v>
      </c>
      <c r="T41" s="21">
        <f>$L$8*IF(T37&lt;=0,0,INDEX(Assumptions!$B$57:$F$57,MIN(T37,5)))*(1+Assumptions!$B$71)^(Model!T3-1)</f>
        <v>0.71256269791707028</v>
      </c>
      <c r="U41" s="21">
        <f>$L$8*IF(U37&lt;=0,0,INDEX(Assumptions!$B$57:$F$57,MIN(U37,5)))*(1+Assumptions!$B$71)^(Model!U3-1)</f>
        <v>0.73037676536499696</v>
      </c>
      <c r="V41" s="21">
        <f>$L$8*IF(V37&lt;=0,0,INDEX(Assumptions!$B$57:$F$57,MIN(V37,5)))*(1+Assumptions!$B$71)^(Model!V3-1)</f>
        <v>0.74863618449912184</v>
      </c>
      <c r="W41" s="21">
        <f>$L$8*IF(W37&lt;=0,0,INDEX(Assumptions!$B$57:$F$57,MIN(W37,5)))*(1+Assumptions!$B$71)^(Model!W3-1)</f>
        <v>0.76735208911159991</v>
      </c>
      <c r="X41" s="21">
        <f>$L$8*IF(X37&lt;=0,0,INDEX(Assumptions!$B$57:$F$57,MIN(X37,5)))*(1+Assumptions!$B$71)^(Model!X3-1)</f>
        <v>0.78653589133938984</v>
      </c>
      <c r="Y41" s="21">
        <f>$L$8*IF(Y37&lt;=0,0,INDEX(Assumptions!$B$57:$F$57,MIN(Y37,5)))*(1+Assumptions!$B$71)^(Model!Y3-1)</f>
        <v>0.80619928862287449</v>
      </c>
      <c r="Z41" s="21">
        <f>$L$8*IF(Z37&lt;=0,0,INDEX(Assumptions!$B$57:$F$57,MIN(Z37,5)))*(1+Assumptions!$B$71)^(Model!Z3-1)</f>
        <v>0.82635427083844637</v>
      </c>
      <c r="AA41" s="21">
        <f>$L$8*IF(AA37&lt;=0,0,INDEX(Assumptions!$B$57:$F$57,MIN(AA37,5)))*(1+Assumptions!$B$71)^(Model!AA3-1)</f>
        <v>0.8470131276094075</v>
      </c>
      <c r="AB41" s="21">
        <f>$L$8*IF(AB37&lt;=0,0,INDEX(Assumptions!$B$57:$F$57,MIN(AB37,5)))*(1+Assumptions!$B$71)^(Model!AB3-1)</f>
        <v>0.86818845579964266</v>
      </c>
      <c r="AC41" s="21">
        <f>$L$8*IF(AC37&lt;=0,0,INDEX(Assumptions!$B$57:$F$57,MIN(AC37,5)))*(1+Assumptions!$B$71)^(Model!AC3-1)</f>
        <v>0.88989316719463363</v>
      </c>
      <c r="AD41" s="21">
        <f>$L$8*IF(AD37&lt;=0,0,INDEX(Assumptions!$B$57:$F$57,MIN(AD37,5)))*(1+Assumptions!$B$71)^(Model!AD3-1)</f>
        <v>0.91214049637449934</v>
      </c>
      <c r="AE41" s="21">
        <f>$L$8*IF(AE37&lt;=0,0,INDEX(Assumptions!$B$57:$F$57,MIN(AE37,5)))*(1+Assumptions!$B$71)^(Model!AE3-1)</f>
        <v>0.93494400878386186</v>
      </c>
      <c r="AF41" s="21">
        <f>$L$8*IF(AF37&lt;=0,0,INDEX(Assumptions!$B$57:$F$57,MIN(AF37,5)))*(1+Assumptions!$B$71)^(Model!AF3-1)</f>
        <v>0.9583176090034583</v>
      </c>
      <c r="AG41" s="21">
        <f>$L$8*IF(AG37&lt;=0,0,INDEX(Assumptions!$B$57:$F$57,MIN(AG37,5)))*(1+Assumptions!$B$71)^(Model!AG3-1)</f>
        <v>0.98227554922854488</v>
      </c>
    </row>
    <row r="42" spans="1:33" ht="15" customHeight="1" x14ac:dyDescent="0.3">
      <c r="A42" s="9" t="s">
        <v>334</v>
      </c>
      <c r="D42" s="21">
        <f>IF(D37&gt;0,$K$8*(1+Assumptions!$B$71)^(Model!D3-1),0)</f>
        <v>0</v>
      </c>
      <c r="E42" s="21">
        <f>IF(E37&gt;0,$K$8*(1+Assumptions!$B$71)^(Model!E3-1),0)</f>
        <v>0</v>
      </c>
      <c r="F42" s="21">
        <f>IF(F37&gt;0,$K$8*(1+Assumptions!$B$71)^(Model!F3-1),0)</f>
        <v>0</v>
      </c>
      <c r="G42" s="21">
        <f>IF(G37&gt;0,$K$8*(1+Assumptions!$B$71)^(Model!G3-1),0)</f>
        <v>3.8563453281249993</v>
      </c>
      <c r="H42" s="21">
        <f>IF(H37&gt;0,$K$8*(1+Assumptions!$B$71)^(Model!H3-1),0)</f>
        <v>3.9527539613281242</v>
      </c>
      <c r="I42" s="21">
        <f>IF(I37&gt;0,$K$8*(1+Assumptions!$B$71)^(Model!I3-1),0)</f>
        <v>4.0515728103613267</v>
      </c>
      <c r="J42" s="21">
        <f>IF(J37&gt;0,$K$8*(1+Assumptions!$B$71)^(Model!J3-1),0)</f>
        <v>4.1528621306203597</v>
      </c>
      <c r="K42" s="21">
        <f>IF(K37&gt;0,$K$8*(1+Assumptions!$B$71)^(Model!K3-1),0)</f>
        <v>4.2566836838858686</v>
      </c>
      <c r="L42" s="21">
        <f>IF(L37&gt;0,$K$8*(1+Assumptions!$B$71)^(Model!L3-1),0)</f>
        <v>4.3631007759830149</v>
      </c>
      <c r="M42" s="21">
        <f>IF(M37&gt;0,$K$8*(1+Assumptions!$B$71)^(Model!M3-1),0)</f>
        <v>4.4721782953825899</v>
      </c>
      <c r="N42" s="21">
        <f>IF(N37&gt;0,$K$8*(1+Assumptions!$B$71)^(Model!N3-1),0)</f>
        <v>4.5839827527671551</v>
      </c>
      <c r="O42" s="21">
        <f>IF(O37&gt;0,$K$8*(1+Assumptions!$B$71)^(Model!O3-1),0)</f>
        <v>4.6985823215863336</v>
      </c>
      <c r="P42" s="21">
        <f>IF(P37&gt;0,$K$8*(1+Assumptions!$B$71)^(Model!P3-1),0)</f>
        <v>4.8160468796259917</v>
      </c>
      <c r="Q42" s="21">
        <f>IF(Q37&gt;0,$K$8*(1+Assumptions!$B$71)^(Model!Q3-1),0)</f>
        <v>4.9364480516166411</v>
      </c>
      <c r="R42" s="21">
        <f>IF(R37&gt;0,$K$8*(1+Assumptions!$B$71)^(Model!R3-1),0)</f>
        <v>5.0598592529070565</v>
      </c>
      <c r="S42" s="21">
        <f>IF(S37&gt;0,$K$8*(1+Assumptions!$B$71)^(Model!S3-1),0)</f>
        <v>5.1863557342297337</v>
      </c>
      <c r="T42" s="21">
        <f>IF(T37&gt;0,$K$8*(1+Assumptions!$B$71)^(Model!T3-1),0)</f>
        <v>5.3160146275854769</v>
      </c>
      <c r="U42" s="21">
        <f>IF(U37&gt;0,$K$8*(1+Assumptions!$B$71)^(Model!U3-1),0)</f>
        <v>5.4489149932751131</v>
      </c>
      <c r="V42" s="21">
        <f>IF(V37&gt;0,$K$8*(1+Assumptions!$B$71)^(Model!V3-1),0)</f>
        <v>5.5851378681069903</v>
      </c>
      <c r="W42" s="21">
        <f>IF(W37&gt;0,$K$8*(1+Assumptions!$B$71)^(Model!W3-1),0)</f>
        <v>5.7247663148096652</v>
      </c>
      <c r="X42" s="21">
        <f>IF(X37&gt;0,$K$8*(1+Assumptions!$B$71)^(Model!X3-1),0)</f>
        <v>5.8678854726799061</v>
      </c>
      <c r="Y42" s="21">
        <f>IF(Y37&gt;0,$K$8*(1+Assumptions!$B$71)^(Model!Y3-1),0)</f>
        <v>6.0145826094969035</v>
      </c>
      <c r="Z42" s="21">
        <f>IF(Z37&gt;0,$K$8*(1+Assumptions!$B$71)^(Model!Z3-1),0)</f>
        <v>6.1649471747343254</v>
      </c>
      <c r="AA42" s="21">
        <f>IF(AA37&gt;0,$K$8*(1+Assumptions!$B$71)^(Model!AA3-1),0)</f>
        <v>6.3190708541026845</v>
      </c>
      <c r="AB42" s="21">
        <f>IF(AB37&gt;0,$K$8*(1+Assumptions!$B$71)^(Model!AB3-1),0)</f>
        <v>6.4770476254552509</v>
      </c>
      <c r="AC42" s="21">
        <f>IF(AC37&gt;0,$K$8*(1+Assumptions!$B$71)^(Model!AC3-1),0)</f>
        <v>6.6389738160916307</v>
      </c>
      <c r="AD42" s="21">
        <f>IF(AD37&gt;0,$K$8*(1+Assumptions!$B$71)^(Model!AD3-1),0)</f>
        <v>6.8049481614939218</v>
      </c>
      <c r="AE42" s="21">
        <f>IF(AE37&gt;0,$K$8*(1+Assumptions!$B$71)^(Model!AE3-1),0)</f>
        <v>6.9750718655312696</v>
      </c>
      <c r="AF42" s="21">
        <f>IF(AF37&gt;0,$K$8*(1+Assumptions!$B$71)^(Model!AF3-1),0)</f>
        <v>7.1494486621695508</v>
      </c>
      <c r="AG42" s="21">
        <f>IF(AG37&gt;0,$K$8*(1+Assumptions!$B$71)^(Model!AG3-1),0)</f>
        <v>7.32818487872379</v>
      </c>
    </row>
    <row r="44" spans="1:33" ht="15" customHeight="1" x14ac:dyDescent="0.3">
      <c r="A44" s="9" t="s">
        <v>335</v>
      </c>
      <c r="D44" s="9">
        <f>IF(Model!D3&gt;=$C$9,Model!D3-$C$9+1,0)</f>
        <v>0</v>
      </c>
      <c r="E44" s="9">
        <f>IF(Model!E3&gt;=$C$9,Model!E3-$C$9+1,0)</f>
        <v>0</v>
      </c>
      <c r="F44" s="9">
        <f>IF(Model!F3&gt;=$C$9,Model!F3-$C$9+1,0)</f>
        <v>0</v>
      </c>
      <c r="G44" s="9">
        <f>IF(Model!G3&gt;=$C$9,Model!G3-$C$9+1,0)</f>
        <v>1</v>
      </c>
      <c r="H44" s="9">
        <f>IF(Model!H3&gt;=$C$9,Model!H3-$C$9+1,0)</f>
        <v>2</v>
      </c>
      <c r="I44" s="9">
        <f>IF(Model!I3&gt;=$C$9,Model!I3-$C$9+1,0)</f>
        <v>3</v>
      </c>
      <c r="J44" s="9">
        <f>IF(Model!J3&gt;=$C$9,Model!J3-$C$9+1,0)</f>
        <v>4</v>
      </c>
      <c r="K44" s="9">
        <f>IF(Model!K3&gt;=$C$9,Model!K3-$C$9+1,0)</f>
        <v>5</v>
      </c>
      <c r="L44" s="9">
        <f>IF(Model!L3&gt;=$C$9,Model!L3-$C$9+1,0)</f>
        <v>6</v>
      </c>
      <c r="M44" s="9">
        <f>IF(Model!M3&gt;=$C$9,Model!M3-$C$9+1,0)</f>
        <v>7</v>
      </c>
      <c r="N44" s="9">
        <f>IF(Model!N3&gt;=$C$9,Model!N3-$C$9+1,0)</f>
        <v>8</v>
      </c>
      <c r="O44" s="9">
        <f>IF(Model!O3&gt;=$C$9,Model!O3-$C$9+1,0)</f>
        <v>9</v>
      </c>
      <c r="P44" s="9">
        <f>IF(Model!P3&gt;=$C$9,Model!P3-$C$9+1,0)</f>
        <v>10</v>
      </c>
      <c r="Q44" s="9">
        <f>IF(Model!Q3&gt;=$C$9,Model!Q3-$C$9+1,0)</f>
        <v>11</v>
      </c>
      <c r="R44" s="9">
        <f>IF(Model!R3&gt;=$C$9,Model!R3-$C$9+1,0)</f>
        <v>12</v>
      </c>
      <c r="S44" s="9">
        <f>IF(Model!S3&gt;=$C$9,Model!S3-$C$9+1,0)</f>
        <v>13</v>
      </c>
      <c r="T44" s="9">
        <f>IF(Model!T3&gt;=$C$9,Model!T3-$C$9+1,0)</f>
        <v>14</v>
      </c>
      <c r="U44" s="9">
        <f>IF(Model!U3&gt;=$C$9,Model!U3-$C$9+1,0)</f>
        <v>15</v>
      </c>
      <c r="V44" s="9">
        <f>IF(Model!V3&gt;=$C$9,Model!V3-$C$9+1,0)</f>
        <v>16</v>
      </c>
      <c r="W44" s="9">
        <f>IF(Model!W3&gt;=$C$9,Model!W3-$C$9+1,0)</f>
        <v>17</v>
      </c>
      <c r="X44" s="9">
        <f>IF(Model!X3&gt;=$C$9,Model!X3-$C$9+1,0)</f>
        <v>18</v>
      </c>
      <c r="Y44" s="9">
        <f>IF(Model!Y3&gt;=$C$9,Model!Y3-$C$9+1,0)</f>
        <v>19</v>
      </c>
      <c r="Z44" s="9">
        <f>IF(Model!Z3&gt;=$C$9,Model!Z3-$C$9+1,0)</f>
        <v>20</v>
      </c>
      <c r="AA44" s="9">
        <f>IF(Model!AA3&gt;=$C$9,Model!AA3-$C$9+1,0)</f>
        <v>21</v>
      </c>
      <c r="AB44" s="9">
        <f>IF(Model!AB3&gt;=$C$9,Model!AB3-$C$9+1,0)</f>
        <v>22</v>
      </c>
      <c r="AC44" s="9">
        <f>IF(Model!AC3&gt;=$C$9,Model!AC3-$C$9+1,0)</f>
        <v>23</v>
      </c>
      <c r="AD44" s="9">
        <f>IF(Model!AD3&gt;=$C$9,Model!AD3-$C$9+1,0)</f>
        <v>24</v>
      </c>
      <c r="AE44" s="9">
        <f>IF(Model!AE3&gt;=$C$9,Model!AE3-$C$9+1,0)</f>
        <v>25</v>
      </c>
      <c r="AF44" s="9">
        <f>IF(Model!AF3&gt;=$C$9,Model!AF3-$C$9+1,0)</f>
        <v>26</v>
      </c>
      <c r="AG44" s="9">
        <f>IF(Model!AG3&gt;=$C$9,Model!AG3-$C$9+1,0)</f>
        <v>27</v>
      </c>
    </row>
    <row r="45" spans="1:33" ht="15" customHeight="1" x14ac:dyDescent="0.3">
      <c r="A45" s="9" t="s">
        <v>336</v>
      </c>
      <c r="D45" s="21">
        <f>IF(Model!D3&lt;=4,$B$9*INDEX(Assumptions!$B$24:$E$24,Model!D3),0)*(1+Assumptions!$B$76)</f>
        <v>0.82</v>
      </c>
      <c r="E45" s="21">
        <f>IF(Model!E3&lt;=4,$B$9*INDEX(Assumptions!$B$24:$E$24,Model!E3),0)*(1+Assumptions!$B$76)</f>
        <v>2.4599999999999995</v>
      </c>
      <c r="F45" s="21">
        <f>IF(Model!F3&lt;=4,$B$9*INDEX(Assumptions!$B$24:$E$24,Model!F3),0)*(1+Assumptions!$B$76)</f>
        <v>3.28</v>
      </c>
      <c r="G45" s="21">
        <f>IF(Model!G3&lt;=4,$B$9*INDEX(Assumptions!$B$24:$E$24,Model!G3),0)*(1+Assumptions!$B$76)</f>
        <v>1.64</v>
      </c>
      <c r="H45" s="21">
        <f>IF(Model!H3&lt;=4,$B$9*INDEX(Assumptions!$B$24:$E$24,Model!H3),0)*(1+Assumptions!$B$76)</f>
        <v>0</v>
      </c>
      <c r="I45" s="21">
        <f>IF(Model!I3&lt;=4,$B$9*INDEX(Assumptions!$B$24:$E$24,Model!I3),0)*(1+Assumptions!$B$76)</f>
        <v>0</v>
      </c>
      <c r="J45" s="21">
        <f>IF(Model!J3&lt;=4,$B$9*INDEX(Assumptions!$B$24:$E$24,Model!J3),0)*(1+Assumptions!$B$76)</f>
        <v>0</v>
      </c>
      <c r="K45" s="21">
        <f>IF(Model!K3&lt;=4,$B$9*INDEX(Assumptions!$B$24:$E$24,Model!K3),0)*(1+Assumptions!$B$76)</f>
        <v>0</v>
      </c>
      <c r="L45" s="21">
        <f>IF(Model!L3&lt;=4,$B$9*INDEX(Assumptions!$B$24:$E$24,Model!L3),0)*(1+Assumptions!$B$76)</f>
        <v>0</v>
      </c>
      <c r="M45" s="21">
        <f>IF(Model!M3&lt;=4,$B$9*INDEX(Assumptions!$B$24:$E$24,Model!M3),0)*(1+Assumptions!$B$76)</f>
        <v>0</v>
      </c>
      <c r="N45" s="21">
        <f>IF(Model!N3&lt;=4,$B$9*INDEX(Assumptions!$B$24:$E$24,Model!N3),0)*(1+Assumptions!$B$76)</f>
        <v>0</v>
      </c>
      <c r="O45" s="21">
        <f>IF(Model!O3&lt;=4,$B$9*INDEX(Assumptions!$B$24:$E$24,Model!O3),0)*(1+Assumptions!$B$76)</f>
        <v>0</v>
      </c>
      <c r="P45" s="21">
        <f>IF(Model!P3&lt;=4,$B$9*INDEX(Assumptions!$B$24:$E$24,Model!P3),0)*(1+Assumptions!$B$76)</f>
        <v>0</v>
      </c>
      <c r="Q45" s="21">
        <f>IF(Model!Q3&lt;=4,$B$9*INDEX(Assumptions!$B$24:$E$24,Model!Q3),0)*(1+Assumptions!$B$76)</f>
        <v>0</v>
      </c>
      <c r="R45" s="21">
        <f>IF(Model!R3&lt;=4,$B$9*INDEX(Assumptions!$B$24:$E$24,Model!R3),0)*(1+Assumptions!$B$76)</f>
        <v>0</v>
      </c>
      <c r="S45" s="21">
        <f>IF(Model!S3&lt;=4,$B$9*INDEX(Assumptions!$B$24:$E$24,Model!S3),0)*(1+Assumptions!$B$76)</f>
        <v>0</v>
      </c>
      <c r="T45" s="21">
        <f>IF(Model!T3&lt;=4,$B$9*INDEX(Assumptions!$B$24:$E$24,Model!T3),0)*(1+Assumptions!$B$76)</f>
        <v>0</v>
      </c>
      <c r="U45" s="21">
        <f>IF(Model!U3&lt;=4,$B$9*INDEX(Assumptions!$B$24:$E$24,Model!U3),0)*(1+Assumptions!$B$76)</f>
        <v>0</v>
      </c>
      <c r="V45" s="21">
        <f>IF(Model!V3&lt;=4,$B$9*INDEX(Assumptions!$B$24:$E$24,Model!V3),0)*(1+Assumptions!$B$76)</f>
        <v>0</v>
      </c>
      <c r="W45" s="21">
        <f>IF(Model!W3&lt;=4,$B$9*INDEX(Assumptions!$B$24:$E$24,Model!W3),0)*(1+Assumptions!$B$76)</f>
        <v>0</v>
      </c>
      <c r="X45" s="21">
        <f>IF(Model!X3&lt;=4,$B$9*INDEX(Assumptions!$B$24:$E$24,Model!X3),0)*(1+Assumptions!$B$76)</f>
        <v>0</v>
      </c>
      <c r="Y45" s="21">
        <f>IF(Model!Y3&lt;=4,$B$9*INDEX(Assumptions!$B$24:$E$24,Model!Y3),0)*(1+Assumptions!$B$76)</f>
        <v>0</v>
      </c>
      <c r="Z45" s="21">
        <f>IF(Model!Z3&lt;=4,$B$9*INDEX(Assumptions!$B$24:$E$24,Model!Z3),0)*(1+Assumptions!$B$76)</f>
        <v>0</v>
      </c>
      <c r="AA45" s="21">
        <f>IF(Model!AA3&lt;=4,$B$9*INDEX(Assumptions!$B$24:$E$24,Model!AA3),0)*(1+Assumptions!$B$76)</f>
        <v>0</v>
      </c>
      <c r="AB45" s="21">
        <f>IF(Model!AB3&lt;=4,$B$9*INDEX(Assumptions!$B$24:$E$24,Model!AB3),0)*(1+Assumptions!$B$76)</f>
        <v>0</v>
      </c>
      <c r="AC45" s="21">
        <f>IF(Model!AC3&lt;=4,$B$9*INDEX(Assumptions!$B$24:$E$24,Model!AC3),0)*(1+Assumptions!$B$76)</f>
        <v>0</v>
      </c>
      <c r="AD45" s="21">
        <f>IF(Model!AD3&lt;=4,$B$9*INDEX(Assumptions!$B$24:$E$24,Model!AD3),0)*(1+Assumptions!$B$76)</f>
        <v>0</v>
      </c>
      <c r="AE45" s="21">
        <f>IF(Model!AE3&lt;=4,$B$9*INDEX(Assumptions!$B$24:$E$24,Model!AE3),0)*(1+Assumptions!$B$76)</f>
        <v>0</v>
      </c>
      <c r="AF45" s="21">
        <f>IF(Model!AF3&lt;=4,$B$9*INDEX(Assumptions!$B$24:$E$24,Model!AF3),0)*(1+Assumptions!$B$76)</f>
        <v>0</v>
      </c>
      <c r="AG45" s="21">
        <f>IF(Model!AG3&lt;=4,$B$9*INDEX(Assumptions!$B$24:$E$24,Model!AG3),0)*(1+Assumptions!$B$76)</f>
        <v>0</v>
      </c>
    </row>
    <row r="46" spans="1:33" ht="15" customHeight="1" x14ac:dyDescent="0.3">
      <c r="A46" s="9" t="s">
        <v>337</v>
      </c>
      <c r="D46" s="21">
        <f>$D$9*$E$9*(1+Assumptions!$B$75)*IF(D44&lt;=0,0,INDEX(Assumptions!$B$57:$F$57,MIN(D44,5)))*8760*$F$9*(1+Assumptions!$B$71)^(Model!D3-1)*Assumptions!$B$80/1000000</f>
        <v>0</v>
      </c>
      <c r="E46" s="21">
        <f>$D$9*$E$9*(1+Assumptions!$B$75)*IF(E44&lt;=0,0,INDEX(Assumptions!$B$57:$F$57,MIN(E44,5)))*8760*$F$9*(1+Assumptions!$B$71)^(Model!E3-1)*Assumptions!$B$80/1000000</f>
        <v>0</v>
      </c>
      <c r="F46" s="21">
        <f>$D$9*$E$9*(1+Assumptions!$B$75)*IF(F44&lt;=0,0,INDEX(Assumptions!$B$57:$F$57,MIN(F44,5)))*8760*$F$9*(1+Assumptions!$B$71)^(Model!F3-1)*Assumptions!$B$80/1000000</f>
        <v>0</v>
      </c>
      <c r="G46" s="21">
        <f>$D$9*$E$9*(1+Assumptions!$B$75)*IF(G44&lt;=0,0,INDEX(Assumptions!$B$57:$F$57,MIN(G44,5)))*8760*$F$9*(1+Assumptions!$B$71)^(Model!G3-1)*Assumptions!$B$80/1000000</f>
        <v>0.678944768418</v>
      </c>
      <c r="H46" s="21">
        <f>$D$9*$E$9*(1+Assumptions!$B$75)*IF(H44&lt;=0,0,INDEX(Assumptions!$B$57:$F$57,MIN(H44,5)))*8760*$F$9*(1+Assumptions!$B$71)^(Model!H3-1)*Assumptions!$B$80/1000000</f>
        <v>0.81190478556652479</v>
      </c>
      <c r="I46" s="21">
        <f>$D$9*$E$9*(1+Assumptions!$B$75)*IF(I44&lt;=0,0,INDEX(Assumptions!$B$57:$F$57,MIN(I44,5)))*8760*$F$9*(1+Assumptions!$B$71)^(Model!I3-1)*Assumptions!$B$80/1000000</f>
        <v>1.010531492035478</v>
      </c>
      <c r="J46" s="21">
        <f>$D$9*$E$9*(1+Assumptions!$B$75)*IF(J44&lt;=0,0,INDEX(Assumptions!$B$57:$F$57,MIN(J44,5)))*8760*$F$9*(1+Assumptions!$B$71)^(Model!J3-1)*Assumptions!$B$80/1000000</f>
        <v>1.1576529886700551</v>
      </c>
      <c r="K46" s="21">
        <f>$D$9*$E$9*(1+Assumptions!$B$75)*IF(K44&lt;=0,0,INDEX(Assumptions!$B$57:$F$57,MIN(K44,5)))*8760*$F$9*(1+Assumptions!$B$71)^(Model!K3-1)*Assumptions!$B$80/1000000</f>
        <v>1.2490466456703224</v>
      </c>
      <c r="L46" s="21">
        <f>$D$9*$E$9*(1+Assumptions!$B$75)*IF(L44&lt;=0,0,INDEX(Assumptions!$B$57:$F$57,MIN(L44,5)))*8760*$F$9*(1+Assumptions!$B$71)^(Model!L3-1)*Assumptions!$B$80/1000000</f>
        <v>1.2802728118120805</v>
      </c>
      <c r="M46" s="21">
        <f>$D$9*$E$9*(1+Assumptions!$B$75)*IF(M44&lt;=0,0,INDEX(Assumptions!$B$57:$F$57,MIN(M44,5)))*8760*$F$9*(1+Assumptions!$B$71)^(Model!M3-1)*Assumptions!$B$80/1000000</f>
        <v>1.3122796321073822</v>
      </c>
      <c r="N46" s="21">
        <f>$D$9*$E$9*(1+Assumptions!$B$75)*IF(N44&lt;=0,0,INDEX(Assumptions!$B$57:$F$57,MIN(N44,5)))*8760*$F$9*(1+Assumptions!$B$71)^(Model!N3-1)*Assumptions!$B$80/1000000</f>
        <v>1.3450866229100666</v>
      </c>
      <c r="O46" s="21">
        <f>$D$9*$E$9*(1+Assumptions!$B$75)*IF(O44&lt;=0,0,INDEX(Assumptions!$B$57:$F$57,MIN(O44,5)))*8760*$F$9*(1+Assumptions!$B$71)^(Model!O3-1)*Assumptions!$B$80/1000000</f>
        <v>1.3787137884828182</v>
      </c>
      <c r="P46" s="21">
        <f>$D$9*$E$9*(1+Assumptions!$B$75)*IF(P44&lt;=0,0,INDEX(Assumptions!$B$57:$F$57,MIN(P44,5)))*8760*$F$9*(1+Assumptions!$B$71)^(Model!P3-1)*Assumptions!$B$80/1000000</f>
        <v>1.4131816331948888</v>
      </c>
      <c r="Q46" s="21">
        <f>$D$9*$E$9*(1+Assumptions!$B$75)*IF(Q44&lt;=0,0,INDEX(Assumptions!$B$57:$F$57,MIN(Q44,5)))*8760*$F$9*(1+Assumptions!$B$71)^(Model!Q3-1)*Assumptions!$B$80/1000000</f>
        <v>1.4485111740247609</v>
      </c>
      <c r="R46" s="21">
        <f>$D$9*$E$9*(1+Assumptions!$B$75)*IF(R44&lt;=0,0,INDEX(Assumptions!$B$57:$F$57,MIN(R44,5)))*8760*$F$9*(1+Assumptions!$B$71)^(Model!R3-1)*Assumptions!$B$80/1000000</f>
        <v>1.4847239533753798</v>
      </c>
      <c r="S46" s="21">
        <f>$D$9*$E$9*(1+Assumptions!$B$75)*IF(S44&lt;=0,0,INDEX(Assumptions!$B$57:$F$57,MIN(S44,5)))*8760*$F$9*(1+Assumptions!$B$71)^(Model!S3-1)*Assumptions!$B$80/1000000</f>
        <v>1.5218420522097644</v>
      </c>
      <c r="T46" s="21">
        <f>$D$9*$E$9*(1+Assumptions!$B$75)*IF(T44&lt;=0,0,INDEX(Assumptions!$B$57:$F$57,MIN(T44,5)))*8760*$F$9*(1+Assumptions!$B$71)^(Model!T3-1)*Assumptions!$B$80/1000000</f>
        <v>1.5598881035150085</v>
      </c>
      <c r="U46" s="21">
        <f>$D$9*$E$9*(1+Assumptions!$B$75)*IF(U44&lt;=0,0,INDEX(Assumptions!$B$57:$F$57,MIN(U44,5)))*8760*$F$9*(1+Assumptions!$B$71)^(Model!U3-1)*Assumptions!$B$80/1000000</f>
        <v>1.5988853061028836</v>
      </c>
      <c r="V46" s="21">
        <f>$D$9*$E$9*(1+Assumptions!$B$75)*IF(V44&lt;=0,0,INDEX(Assumptions!$B$57:$F$57,MIN(V44,5)))*8760*$F$9*(1+Assumptions!$B$71)^(Model!V3-1)*Assumptions!$B$80/1000000</f>
        <v>1.6388574387554558</v>
      </c>
      <c r="W46" s="21">
        <f>$D$9*$E$9*(1+Assumptions!$B$75)*IF(W44&lt;=0,0,INDEX(Assumptions!$B$57:$F$57,MIN(W44,5)))*8760*$F$9*(1+Assumptions!$B$71)^(Model!W3-1)*Assumptions!$B$80/1000000</f>
        <v>1.6798288747243422</v>
      </c>
      <c r="X46" s="21">
        <f>$D$9*$E$9*(1+Assumptions!$B$75)*IF(X44&lt;=0,0,INDEX(Assumptions!$B$57:$F$57,MIN(X44,5)))*8760*$F$9*(1+Assumptions!$B$71)^(Model!X3-1)*Assumptions!$B$80/1000000</f>
        <v>1.7218245965924504</v>
      </c>
      <c r="Y46" s="21">
        <f>$D$9*$E$9*(1+Assumptions!$B$75)*IF(Y44&lt;=0,0,INDEX(Assumptions!$B$57:$F$57,MIN(Y44,5)))*8760*$F$9*(1+Assumptions!$B$71)^(Model!Y3-1)*Assumptions!$B$80/1000000</f>
        <v>1.7648702115072614</v>
      </c>
      <c r="Z46" s="21">
        <f>$D$9*$E$9*(1+Assumptions!$B$75)*IF(Z44&lt;=0,0,INDEX(Assumptions!$B$57:$F$57,MIN(Z44,5)))*8760*$F$9*(1+Assumptions!$B$71)^(Model!Z3-1)*Assumptions!$B$80/1000000</f>
        <v>1.808991966794943</v>
      </c>
      <c r="AA46" s="21">
        <f>$D$9*$E$9*(1+Assumptions!$B$75)*IF(AA44&lt;=0,0,INDEX(Assumptions!$B$57:$F$57,MIN(AA44,5)))*8760*$F$9*(1+Assumptions!$B$71)^(Model!AA3-1)*Assumptions!$B$80/1000000</f>
        <v>1.8542167659648168</v>
      </c>
      <c r="AB46" s="21">
        <f>$D$9*$E$9*(1+Assumptions!$B$75)*IF(AB44&lt;=0,0,INDEX(Assumptions!$B$57:$F$57,MIN(AB44,5)))*8760*$F$9*(1+Assumptions!$B$71)^(Model!AB3-1)*Assumptions!$B$80/1000000</f>
        <v>1.9005721851139372</v>
      </c>
      <c r="AC46" s="21">
        <f>$D$9*$E$9*(1+Assumptions!$B$75)*IF(AC44&lt;=0,0,INDEX(Assumptions!$B$57:$F$57,MIN(AC44,5)))*8760*$F$9*(1+Assumptions!$B$71)^(Model!AC3-1)*Assumptions!$B$80/1000000</f>
        <v>1.9480864897417849</v>
      </c>
      <c r="AD46" s="21">
        <f>$D$9*$E$9*(1+Assumptions!$B$75)*IF(AD44&lt;=0,0,INDEX(Assumptions!$B$57:$F$57,MIN(AD44,5)))*8760*$F$9*(1+Assumptions!$B$71)^(Model!AD3-1)*Assumptions!$B$80/1000000</f>
        <v>1.9967886519853293</v>
      </c>
      <c r="AE46" s="21">
        <f>$D$9*$E$9*(1+Assumptions!$B$75)*IF(AE44&lt;=0,0,INDEX(Assumptions!$B$57:$F$57,MIN(AE44,5)))*8760*$F$9*(1+Assumptions!$B$71)^(Model!AE3-1)*Assumptions!$B$80/1000000</f>
        <v>2.0467083682849627</v>
      </c>
      <c r="AF46" s="21">
        <f>$D$9*$E$9*(1+Assumptions!$B$75)*IF(AF44&lt;=0,0,INDEX(Assumptions!$B$57:$F$57,MIN(AF44,5)))*8760*$F$9*(1+Assumptions!$B$71)^(Model!AF3-1)*Assumptions!$B$80/1000000</f>
        <v>2.0978760774920868</v>
      </c>
      <c r="AG46" s="21">
        <f>$D$9*$E$9*(1+Assumptions!$B$75)*IF(AG44&lt;=0,0,INDEX(Assumptions!$B$57:$F$57,MIN(AG44,5)))*8760*$F$9*(1+Assumptions!$B$71)^(Model!AG3-1)*Assumptions!$B$80/1000000</f>
        <v>2.1503229794293888</v>
      </c>
    </row>
    <row r="47" spans="1:33" ht="15" customHeight="1" x14ac:dyDescent="0.3">
      <c r="A47" s="9" t="s">
        <v>338</v>
      </c>
      <c r="D47" s="21">
        <f>$G$9*(IF(D44&lt;=0,0,IF(D44&lt;=5,$H$9/5*D44,IF(D44&lt;=10,$H$9+($I$9-$H$9)*(D44-5)/5,$I$9))))*365*(1+Assumptions!$B$75)*$J$9*(1+Assumptions!$B$71)^(Model!D3-1)*Assumptions!$B$80/1000000</f>
        <v>0</v>
      </c>
      <c r="E47" s="21">
        <f>$G$9*(IF(E44&lt;=0,0,IF(E44&lt;=5,$H$9/5*E44,IF(E44&lt;=10,$H$9+($I$9-$H$9)*(E44-5)/5,$I$9))))*365*(1+Assumptions!$B$75)*$J$9*(1+Assumptions!$B$71)^(Model!E3-1)*Assumptions!$B$80/1000000</f>
        <v>0</v>
      </c>
      <c r="F47" s="21">
        <f>$G$9*(IF(F44&lt;=0,0,IF(F44&lt;=5,$H$9/5*F44,IF(F44&lt;=10,$H$9+($I$9-$H$9)*(F44-5)/5,$I$9))))*365*(1+Assumptions!$B$75)*$J$9*(1+Assumptions!$B$71)^(Model!F3-1)*Assumptions!$B$80/1000000</f>
        <v>0</v>
      </c>
      <c r="G47" s="21">
        <f>$G$9*(IF(G44&lt;=0,0,IF(G44&lt;=5,$H$9/5*G44,IF(G44&lt;=10,$H$9+($I$9-$H$9)*(G44-5)/5,$I$9))))*365*(1+Assumptions!$B$75)*$J$9*(1+Assumptions!$B$71)^(Model!G3-1)*Assumptions!$B$80/1000000</f>
        <v>3.033479740429687E-2</v>
      </c>
      <c r="H47" s="21">
        <f>$G$9*(IF(H44&lt;=0,0,IF(H44&lt;=5,$H$9/5*H44,IF(H44&lt;=10,$H$9+($I$9-$H$9)*(H44-5)/5,$I$9))))*365*(1+Assumptions!$B$75)*$J$9*(1+Assumptions!$B$71)^(Model!H3-1)*Assumptions!$B$80/1000000</f>
        <v>6.2186334678808568E-2</v>
      </c>
      <c r="I47" s="21">
        <f>$G$9*(IF(I44&lt;=0,0,IF(I44&lt;=5,$H$9/5*I44,IF(I44&lt;=10,$H$9+($I$9-$H$9)*(I44-5)/5,$I$9))))*365*(1+Assumptions!$B$75)*$J$9*(1+Assumptions!$B$71)^(Model!I3-1)*Assumptions!$B$80/1000000</f>
        <v>9.5611489568668162E-2</v>
      </c>
      <c r="J47" s="21">
        <f>$G$9*(IF(J44&lt;=0,0,IF(J44&lt;=5,$H$9/5*J44,IF(J44&lt;=10,$H$9+($I$9-$H$9)*(J44-5)/5,$I$9))))*365*(1+Assumptions!$B$75)*$J$9*(1+Assumptions!$B$71)^(Model!J3-1)*Assumptions!$B$80/1000000</f>
        <v>0.1306690357438465</v>
      </c>
      <c r="K47" s="21">
        <f>$G$9*(IF(K44&lt;=0,0,IF(K44&lt;=5,$H$9/5*K44,IF(K44&lt;=10,$H$9+($I$9-$H$9)*(K44-5)/5,$I$9))))*365*(1+Assumptions!$B$75)*$J$9*(1+Assumptions!$B$71)^(Model!K3-1)*Assumptions!$B$80/1000000</f>
        <v>0.16741970204680334</v>
      </c>
      <c r="L47" s="21">
        <f>$G$9*(IF(L44&lt;=0,0,IF(L44&lt;=5,$H$9/5*L44,IF(L44&lt;=10,$H$9+($I$9-$H$9)*(L44-5)/5,$I$9))))*365*(1+Assumptions!$B$75)*$J$9*(1+Assumptions!$B$71)^(Model!L3-1)*Assumptions!$B$80/1000000</f>
        <v>0.1961202223976839</v>
      </c>
      <c r="M47" s="21">
        <f>$G$9*(IF(M44&lt;=0,0,IF(M44&lt;=5,$H$9/5*M44,IF(M44&lt;=10,$H$9+($I$9-$H$9)*(M44-5)/5,$I$9))))*365*(1+Assumptions!$B$75)*$J$9*(1+Assumptions!$B$71)^(Model!M3-1)*Assumptions!$B$80/1000000</f>
        <v>0.22615113145232918</v>
      </c>
      <c r="N47" s="21">
        <f>$G$9*(IF(N44&lt;=0,0,IF(N44&lt;=5,$H$9/5*N44,IF(N44&lt;=10,$H$9+($I$9-$H$9)*(N44-5)/5,$I$9))))*365*(1+Assumptions!$B$75)*$J$9*(1+Assumptions!$B$71)^(Model!N3-1)*Assumptions!$B$80/1000000</f>
        <v>0.25756101082070826</v>
      </c>
      <c r="O47" s="21">
        <f>$G$9*(IF(O44&lt;=0,0,IF(O44&lt;=5,$H$9/5*O44,IF(O44&lt;=10,$H$9+($I$9-$H$9)*(O44-5)/5,$I$9))))*365*(1+Assumptions!$B$75)*$J$9*(1+Assumptions!$B$71)^(Model!O3-1)*Assumptions!$B$80/1000000</f>
        <v>0.29040003970034856</v>
      </c>
      <c r="P47" s="21">
        <f>$G$9*(IF(P44&lt;=0,0,IF(P44&lt;=5,$H$9/5*P44,IF(P44&lt;=10,$H$9+($I$9-$H$9)*(P44-5)/5,$I$9))))*365*(1+Assumptions!$B$75)*$J$9*(1+Assumptions!$B$71)^(Model!P3-1)*Assumptions!$B$80/1000000</f>
        <v>0.32472004439220786</v>
      </c>
      <c r="Q47" s="21">
        <f>$G$9*(IF(Q44&lt;=0,0,IF(Q44&lt;=5,$H$9/5*Q44,IF(Q44&lt;=10,$H$9+($I$9-$H$9)*(Q44-5)/5,$I$9))))*365*(1+Assumptions!$B$75)*$J$9*(1+Assumptions!$B$71)^(Model!Q3-1)*Assumptions!$B$80/1000000</f>
        <v>0.33283804550201307</v>
      </c>
      <c r="R47" s="21">
        <f>$G$9*(IF(R44&lt;=0,0,IF(R44&lt;=5,$H$9/5*R44,IF(R44&lt;=10,$H$9+($I$9-$H$9)*(R44-5)/5,$I$9))))*365*(1+Assumptions!$B$75)*$J$9*(1+Assumptions!$B$71)^(Model!R3-1)*Assumptions!$B$80/1000000</f>
        <v>0.34115899663956334</v>
      </c>
      <c r="S47" s="21">
        <f>$G$9*(IF(S44&lt;=0,0,IF(S44&lt;=5,$H$9/5*S44,IF(S44&lt;=10,$H$9+($I$9-$H$9)*(S44-5)/5,$I$9))))*365*(1+Assumptions!$B$75)*$J$9*(1+Assumptions!$B$71)^(Model!S3-1)*Assumptions!$B$80/1000000</f>
        <v>0.34968797155555248</v>
      </c>
      <c r="T47" s="21">
        <f>$G$9*(IF(T44&lt;=0,0,IF(T44&lt;=5,$H$9/5*T44,IF(T44&lt;=10,$H$9+($I$9-$H$9)*(T44-5)/5,$I$9))))*365*(1+Assumptions!$B$75)*$J$9*(1+Assumptions!$B$71)^(Model!T3-1)*Assumptions!$B$80/1000000</f>
        <v>0.35843017084444129</v>
      </c>
      <c r="U47" s="21">
        <f>$G$9*(IF(U44&lt;=0,0,IF(U44&lt;=5,$H$9/5*U44,IF(U44&lt;=10,$H$9+($I$9-$H$9)*(U44-5)/5,$I$9))))*365*(1+Assumptions!$B$75)*$J$9*(1+Assumptions!$B$71)^(Model!U3-1)*Assumptions!$B$80/1000000</f>
        <v>0.36739092511555227</v>
      </c>
      <c r="V47" s="21">
        <f>$G$9*(IF(V44&lt;=0,0,IF(V44&lt;=5,$H$9/5*V44,IF(V44&lt;=10,$H$9+($I$9-$H$9)*(V44-5)/5,$I$9))))*365*(1+Assumptions!$B$75)*$J$9*(1+Assumptions!$B$71)^(Model!V3-1)*Assumptions!$B$80/1000000</f>
        <v>0.37657569824344111</v>
      </c>
      <c r="W47" s="21">
        <f>$G$9*(IF(W44&lt;=0,0,IF(W44&lt;=5,$H$9/5*W44,IF(W44&lt;=10,$H$9+($I$9-$H$9)*(W44-5)/5,$I$9))))*365*(1+Assumptions!$B$75)*$J$9*(1+Assumptions!$B$71)^(Model!W3-1)*Assumptions!$B$80/1000000</f>
        <v>0.38599009069952711</v>
      </c>
      <c r="X47" s="21">
        <f>$G$9*(IF(X44&lt;=0,0,IF(X44&lt;=5,$H$9/5*X44,IF(X44&lt;=10,$H$9+($I$9-$H$9)*(X44-5)/5,$I$9))))*365*(1+Assumptions!$B$75)*$J$9*(1+Assumptions!$B$71)^(Model!X3-1)*Assumptions!$B$80/1000000</f>
        <v>0.39563984296701526</v>
      </c>
      <c r="Y47" s="21">
        <f>$G$9*(IF(Y44&lt;=0,0,IF(Y44&lt;=5,$H$9/5*Y44,IF(Y44&lt;=10,$H$9+($I$9-$H$9)*(Y44-5)/5,$I$9))))*365*(1+Assumptions!$B$75)*$J$9*(1+Assumptions!$B$71)^(Model!Y3-1)*Assumptions!$B$80/1000000</f>
        <v>0.40553083904119058</v>
      </c>
      <c r="Z47" s="21">
        <f>$G$9*(IF(Z44&lt;=0,0,IF(Z44&lt;=5,$H$9/5*Z44,IF(Z44&lt;=10,$H$9+($I$9-$H$9)*(Z44-5)/5,$I$9))))*365*(1+Assumptions!$B$75)*$J$9*(1+Assumptions!$B$71)^(Model!Z3-1)*Assumptions!$B$80/1000000</f>
        <v>0.4156691100172204</v>
      </c>
      <c r="AA47" s="21">
        <f>$G$9*(IF(AA44&lt;=0,0,IF(AA44&lt;=5,$H$9/5*AA44,IF(AA44&lt;=10,$H$9+($I$9-$H$9)*(AA44-5)/5,$I$9))))*365*(1+Assumptions!$B$75)*$J$9*(1+Assumptions!$B$71)^(Model!AA3-1)*Assumptions!$B$80/1000000</f>
        <v>0.42606083776765091</v>
      </c>
      <c r="AB47" s="21">
        <f>$G$9*(IF(AB44&lt;=0,0,IF(AB44&lt;=5,$H$9/5*AB44,IF(AB44&lt;=10,$H$9+($I$9-$H$9)*(AB44-5)/5,$I$9))))*365*(1+Assumptions!$B$75)*$J$9*(1+Assumptions!$B$71)^(Model!AB3-1)*Assumptions!$B$80/1000000</f>
        <v>0.43671235871184211</v>
      </c>
      <c r="AC47" s="21">
        <f>$G$9*(IF(AC44&lt;=0,0,IF(AC44&lt;=5,$H$9/5*AC44,IF(AC44&lt;=10,$H$9+($I$9-$H$9)*(AC44-5)/5,$I$9))))*365*(1+Assumptions!$B$75)*$J$9*(1+Assumptions!$B$71)^(Model!AC3-1)*Assumptions!$B$80/1000000</f>
        <v>0.44763016767963815</v>
      </c>
      <c r="AD47" s="21">
        <f>$G$9*(IF(AD44&lt;=0,0,IF(AD44&lt;=5,$H$9/5*AD44,IF(AD44&lt;=10,$H$9+($I$9-$H$9)*(AD44-5)/5,$I$9))))*365*(1+Assumptions!$B$75)*$J$9*(1+Assumptions!$B$71)^(Model!AD3-1)*Assumptions!$B$80/1000000</f>
        <v>0.45882092187162898</v>
      </c>
      <c r="AE47" s="21">
        <f>$G$9*(IF(AE44&lt;=0,0,IF(AE44&lt;=5,$H$9/5*AE44,IF(AE44&lt;=10,$H$9+($I$9-$H$9)*(AE44-5)/5,$I$9))))*365*(1+Assumptions!$B$75)*$J$9*(1+Assumptions!$B$71)^(Model!AE3-1)*Assumptions!$B$80/1000000</f>
        <v>0.47029144491841968</v>
      </c>
      <c r="AF47" s="21">
        <f>$G$9*(IF(AF44&lt;=0,0,IF(AF44&lt;=5,$H$9/5*AF44,IF(AF44&lt;=10,$H$9+($I$9-$H$9)*(AF44-5)/5,$I$9))))*365*(1+Assumptions!$B$75)*$J$9*(1+Assumptions!$B$71)^(Model!AF3-1)*Assumptions!$B$80/1000000</f>
        <v>0.48204873104138019</v>
      </c>
      <c r="AG47" s="21">
        <f>$G$9*(IF(AG44&lt;=0,0,IF(AG44&lt;=5,$H$9/5*AG44,IF(AG44&lt;=10,$H$9+($I$9-$H$9)*(AG44-5)/5,$I$9))))*365*(1+Assumptions!$B$75)*$J$9*(1+Assumptions!$B$71)^(Model!AG3-1)*Assumptions!$B$80/1000000</f>
        <v>0.49409994931741474</v>
      </c>
    </row>
    <row r="48" spans="1:33" ht="15" customHeight="1" x14ac:dyDescent="0.3">
      <c r="A48" s="9" t="s">
        <v>339</v>
      </c>
      <c r="D48" s="21">
        <f>$L$9*IF(D44&lt;=0,0,INDEX(Assumptions!$B$57:$F$57,MIN(D44,5)))*(1+Assumptions!$B$71)^(Model!D3-1)</f>
        <v>0</v>
      </c>
      <c r="E48" s="21">
        <f>$L$9*IF(E44&lt;=0,0,INDEX(Assumptions!$B$57:$F$57,MIN(E44,5)))*(1+Assumptions!$B$71)^(Model!E3-1)</f>
        <v>0</v>
      </c>
      <c r="F48" s="21">
        <f>$L$9*IF(F44&lt;=0,0,INDEX(Assumptions!$B$57:$F$57,MIN(F44,5)))*(1+Assumptions!$B$71)^(Model!F3-1)</f>
        <v>0</v>
      </c>
      <c r="G48" s="21">
        <f>$L$9*IF(G44&lt;=0,0,INDEX(Assumptions!$B$57:$F$57,MIN(G44,5)))*(1+Assumptions!$B$71)^(Model!G3-1)</f>
        <v>0.13504208437499995</v>
      </c>
      <c r="H48" s="21">
        <f>$L$9*IF(H44&lt;=0,0,INDEX(Assumptions!$B$57:$F$57,MIN(H44,5)))*(1+Assumptions!$B$71)^(Model!H3-1)</f>
        <v>0.16148782589843744</v>
      </c>
      <c r="I48" s="21">
        <f>$L$9*IF(I44&lt;=0,0,INDEX(Assumptions!$B$57:$F$57,MIN(I44,5)))*(1+Assumptions!$B$71)^(Model!I3-1)</f>
        <v>0.20099466902001945</v>
      </c>
      <c r="J48" s="21">
        <f>$L$9*IF(J44&lt;=0,0,INDEX(Assumptions!$B$57:$F$57,MIN(J44,5)))*(1+Assumptions!$B$71)^(Model!J3-1)</f>
        <v>0.23025712818616931</v>
      </c>
      <c r="K48" s="21">
        <f>$L$9*IF(K44&lt;=0,0,INDEX(Assumptions!$B$57:$F$57,MIN(K44,5)))*(1+Assumptions!$B$71)^(Model!K3-1)</f>
        <v>0.2484353225166564</v>
      </c>
      <c r="L48" s="21">
        <f>$L$9*IF(L44&lt;=0,0,INDEX(Assumptions!$B$57:$F$57,MIN(L44,5)))*(1+Assumptions!$B$71)^(Model!L3-1)</f>
        <v>0.25464620557957279</v>
      </c>
      <c r="M48" s="21">
        <f>$L$9*IF(M44&lt;=0,0,INDEX(Assumptions!$B$57:$F$57,MIN(M44,5)))*(1+Assumptions!$B$71)^(Model!M3-1)</f>
        <v>0.26101236071906209</v>
      </c>
      <c r="N48" s="21">
        <f>$L$9*IF(N44&lt;=0,0,INDEX(Assumptions!$B$57:$F$57,MIN(N44,5)))*(1+Assumptions!$B$71)^(Model!N3-1)</f>
        <v>0.26753766973703863</v>
      </c>
      <c r="O48" s="21">
        <f>$L$9*IF(O44&lt;=0,0,INDEX(Assumptions!$B$57:$F$57,MIN(O44,5)))*(1+Assumptions!$B$71)^(Model!O3-1)</f>
        <v>0.27422611148046461</v>
      </c>
      <c r="P48" s="21">
        <f>$L$9*IF(P44&lt;=0,0,INDEX(Assumptions!$B$57:$F$57,MIN(P44,5)))*(1+Assumptions!$B$71)^(Model!P3-1)</f>
        <v>0.28108176426747616</v>
      </c>
      <c r="Q48" s="21">
        <f>$L$9*IF(Q44&lt;=0,0,INDEX(Assumptions!$B$57:$F$57,MIN(Q44,5)))*(1+Assumptions!$B$71)^(Model!Q3-1)</f>
        <v>0.28810880837416308</v>
      </c>
      <c r="R48" s="21">
        <f>$L$9*IF(R44&lt;=0,0,INDEX(Assumptions!$B$57:$F$57,MIN(R44,5)))*(1+Assumptions!$B$71)^(Model!R3-1)</f>
        <v>0.29531152858351711</v>
      </c>
      <c r="S48" s="21">
        <f>$L$9*IF(S44&lt;=0,0,INDEX(Assumptions!$B$57:$F$57,MIN(S44,5)))*(1+Assumptions!$B$71)^(Model!S3-1)</f>
        <v>0.3026943167981051</v>
      </c>
      <c r="T48" s="21">
        <f>$L$9*IF(T44&lt;=0,0,INDEX(Assumptions!$B$57:$F$57,MIN(T44,5)))*(1+Assumptions!$B$71)^(Model!T3-1)</f>
        <v>0.31026167471805766</v>
      </c>
      <c r="U48" s="21">
        <f>$L$9*IF(U44&lt;=0,0,INDEX(Assumptions!$B$57:$F$57,MIN(U44,5)))*(1+Assumptions!$B$71)^(Model!U3-1)</f>
        <v>0.31801821658600909</v>
      </c>
      <c r="V48" s="21">
        <f>$L$9*IF(V44&lt;=0,0,INDEX(Assumptions!$B$57:$F$57,MIN(V44,5)))*(1+Assumptions!$B$71)^(Model!V3-1)</f>
        <v>0.32596867200065932</v>
      </c>
      <c r="W48" s="21">
        <f>$L$9*IF(W44&lt;=0,0,INDEX(Assumptions!$B$57:$F$57,MIN(W44,5)))*(1+Assumptions!$B$71)^(Model!W3-1)</f>
        <v>0.33411788880067583</v>
      </c>
      <c r="X48" s="21">
        <f>$L$9*IF(X44&lt;=0,0,INDEX(Assumptions!$B$57:$F$57,MIN(X44,5)))*(1+Assumptions!$B$71)^(Model!X3-1)</f>
        <v>0.34247083602069267</v>
      </c>
      <c r="Y48" s="21">
        <f>$L$9*IF(Y44&lt;=0,0,INDEX(Assumptions!$B$57:$F$57,MIN(Y44,5)))*(1+Assumptions!$B$71)^(Model!Y3-1)</f>
        <v>0.35103260692120991</v>
      </c>
      <c r="Z48" s="21">
        <f>$L$9*IF(Z44&lt;=0,0,INDEX(Assumptions!$B$57:$F$57,MIN(Z44,5)))*(1+Assumptions!$B$71)^(Model!Z3-1)</f>
        <v>0.35980842209424019</v>
      </c>
      <c r="AA48" s="21">
        <f>$L$9*IF(AA44&lt;=0,0,INDEX(Assumptions!$B$57:$F$57,MIN(AA44,5)))*(1+Assumptions!$B$71)^(Model!AA3-1)</f>
        <v>0.36880363264659621</v>
      </c>
      <c r="AB48" s="21">
        <f>$L$9*IF(AB44&lt;=0,0,INDEX(Assumptions!$B$57:$F$57,MIN(AB44,5)))*(1+Assumptions!$B$71)^(Model!AB3-1)</f>
        <v>0.37802372346276109</v>
      </c>
      <c r="AC48" s="21">
        <f>$L$9*IF(AC44&lt;=0,0,INDEX(Assumptions!$B$57:$F$57,MIN(AC44,5)))*(1+Assumptions!$B$71)^(Model!AC3-1)</f>
        <v>0.38747431654933001</v>
      </c>
      <c r="AD48" s="21">
        <f>$L$9*IF(AD44&lt;=0,0,INDEX(Assumptions!$B$57:$F$57,MIN(AD44,5)))*(1+Assumptions!$B$71)^(Model!AD3-1)</f>
        <v>0.39716117446306326</v>
      </c>
      <c r="AE48" s="21">
        <f>$L$9*IF(AE44&lt;=0,0,INDEX(Assumptions!$B$57:$F$57,MIN(AE44,5)))*(1+Assumptions!$B$71)^(Model!AE3-1)</f>
        <v>0.40709020382463984</v>
      </c>
      <c r="AF48" s="21">
        <f>$L$9*IF(AF44&lt;=0,0,INDEX(Assumptions!$B$57:$F$57,MIN(AF44,5)))*(1+Assumptions!$B$71)^(Model!AF3-1)</f>
        <v>0.4172674589202558</v>
      </c>
      <c r="AG48" s="21">
        <f>$L$9*IF(AG44&lt;=0,0,INDEX(Assumptions!$B$57:$F$57,MIN(AG44,5)))*(1+Assumptions!$B$71)^(Model!AG3-1)</f>
        <v>0.4276991453932622</v>
      </c>
    </row>
    <row r="49" spans="1:33" ht="15" customHeight="1" x14ac:dyDescent="0.3">
      <c r="A49" s="9" t="s">
        <v>340</v>
      </c>
      <c r="D49" s="21">
        <f>IF(D44&gt;0,$K$9*(1+Assumptions!$B$71)^(Model!D3-1),0)</f>
        <v>0</v>
      </c>
      <c r="E49" s="21">
        <f>IF(E44&gt;0,$K$9*(1+Assumptions!$B$71)^(Model!E3-1),0)</f>
        <v>0</v>
      </c>
      <c r="F49" s="21">
        <f>IF(F44&gt;0,$K$9*(1+Assumptions!$B$71)^(Model!F3-1),0)</f>
        <v>0</v>
      </c>
      <c r="G49" s="21">
        <f>IF(G44&gt;0,$K$9*(1+Assumptions!$B$71)^(Model!G3-1),0)</f>
        <v>2.0697837812499995</v>
      </c>
      <c r="H49" s="21">
        <f>IF(H44&gt;0,$K$9*(1+Assumptions!$B$71)^(Model!H3-1),0)</f>
        <v>2.1215283757812493</v>
      </c>
      <c r="I49" s="21">
        <f>IF(I44&gt;0,$K$9*(1+Assumptions!$B$71)^(Model!I3-1),0)</f>
        <v>2.1745665851757807</v>
      </c>
      <c r="J49" s="21">
        <f>IF(J44&gt;0,$K$9*(1+Assumptions!$B$71)^(Model!J3-1),0)</f>
        <v>2.2289307498051749</v>
      </c>
      <c r="K49" s="21">
        <f>IF(K44&gt;0,$K$9*(1+Assumptions!$B$71)^(Model!K3-1),0)</f>
        <v>2.2846540185503041</v>
      </c>
      <c r="L49" s="21">
        <f>IF(L44&gt;0,$K$9*(1+Assumptions!$B$71)^(Model!L3-1),0)</f>
        <v>2.3417703690140619</v>
      </c>
      <c r="M49" s="21">
        <f>IF(M44&gt;0,$K$9*(1+Assumptions!$B$71)^(Model!M3-1),0)</f>
        <v>2.4003146282394128</v>
      </c>
      <c r="N49" s="21">
        <f>IF(N44&gt;0,$K$9*(1+Assumptions!$B$71)^(Model!N3-1),0)</f>
        <v>2.460322493945398</v>
      </c>
      <c r="O49" s="21">
        <f>IF(O44&gt;0,$K$9*(1+Assumptions!$B$71)^(Model!O3-1),0)</f>
        <v>2.5218305562940331</v>
      </c>
      <c r="P49" s="21">
        <f>IF(P44&gt;0,$K$9*(1+Assumptions!$B$71)^(Model!P3-1),0)</f>
        <v>2.5848763202013836</v>
      </c>
      <c r="Q49" s="21">
        <f>IF(Q44&gt;0,$K$9*(1+Assumptions!$B$71)^(Model!Q3-1),0)</f>
        <v>2.6494982282064181</v>
      </c>
      <c r="R49" s="21">
        <f>IF(R44&gt;0,$K$9*(1+Assumptions!$B$71)^(Model!R3-1),0)</f>
        <v>2.7157356839115785</v>
      </c>
      <c r="S49" s="21">
        <f>IF(S44&gt;0,$K$9*(1+Assumptions!$B$71)^(Model!S3-1),0)</f>
        <v>2.7836290760093685</v>
      </c>
      <c r="T49" s="21">
        <f>IF(T44&gt;0,$K$9*(1+Assumptions!$B$71)^(Model!T3-1),0)</f>
        <v>2.8532198029096021</v>
      </c>
      <c r="U49" s="21">
        <f>IF(U44&gt;0,$K$9*(1+Assumptions!$B$71)^(Model!U3-1),0)</f>
        <v>2.9245502979823419</v>
      </c>
      <c r="V49" s="21">
        <f>IF(V44&gt;0,$K$9*(1+Assumptions!$B$71)^(Model!V3-1),0)</f>
        <v>2.9976640554319007</v>
      </c>
      <c r="W49" s="21">
        <f>IF(W44&gt;0,$K$9*(1+Assumptions!$B$71)^(Model!W3-1),0)</f>
        <v>3.0726056568176983</v>
      </c>
      <c r="X49" s="21">
        <f>IF(X44&gt;0,$K$9*(1+Assumptions!$B$71)^(Model!X3-1),0)</f>
        <v>3.1494207982381401</v>
      </c>
      <c r="Y49" s="21">
        <f>IF(Y44&gt;0,$K$9*(1+Assumptions!$B$71)^(Model!Y3-1),0)</f>
        <v>3.2281563181940931</v>
      </c>
      <c r="Z49" s="21">
        <f>IF(Z44&gt;0,$K$9*(1+Assumptions!$B$71)^(Model!Z3-1),0)</f>
        <v>3.3088602261489455</v>
      </c>
      <c r="AA49" s="21">
        <f>IF(AA44&gt;0,$K$9*(1+Assumptions!$B$71)^(Model!AA3-1),0)</f>
        <v>3.3915817318026691</v>
      </c>
      <c r="AB49" s="21">
        <f>IF(AB44&gt;0,$K$9*(1+Assumptions!$B$71)^(Model!AB3-1),0)</f>
        <v>3.4763712750977356</v>
      </c>
      <c r="AC49" s="21">
        <f>IF(AC44&gt;0,$K$9*(1+Assumptions!$B$71)^(Model!AC3-1),0)</f>
        <v>3.5632805569751786</v>
      </c>
      <c r="AD49" s="21">
        <f>IF(AD44&gt;0,$K$9*(1+Assumptions!$B$71)^(Model!AD3-1),0)</f>
        <v>3.652362570899558</v>
      </c>
      <c r="AE49" s="21">
        <f>IF(AE44&gt;0,$K$9*(1+Assumptions!$B$71)^(Model!AE3-1),0)</f>
        <v>3.7436716351720465</v>
      </c>
      <c r="AF49" s="21">
        <f>IF(AF44&gt;0,$K$9*(1+Assumptions!$B$71)^(Model!AF3-1),0)</f>
        <v>3.8372634260513476</v>
      </c>
      <c r="AG49" s="21">
        <f>IF(AG44&gt;0,$K$9*(1+Assumptions!$B$71)^(Model!AG3-1),0)</f>
        <v>3.9331950117026317</v>
      </c>
    </row>
    <row r="51" spans="1:33" ht="15" customHeight="1" x14ac:dyDescent="0.3">
      <c r="A51" s="9" t="s">
        <v>341</v>
      </c>
      <c r="D51" s="9">
        <f>IF(Model!D3&gt;=$C$10,Model!D3-$C$10+1,0)</f>
        <v>0</v>
      </c>
      <c r="E51" s="9">
        <f>IF(Model!E3&gt;=$C$10,Model!E3-$C$10+1,0)</f>
        <v>0</v>
      </c>
      <c r="F51" s="9">
        <f>IF(Model!F3&gt;=$C$10,Model!F3-$C$10+1,0)</f>
        <v>0</v>
      </c>
      <c r="G51" s="9">
        <f>IF(Model!G3&gt;=$C$10,Model!G3-$C$10+1,0)</f>
        <v>1</v>
      </c>
      <c r="H51" s="9">
        <f>IF(Model!H3&gt;=$C$10,Model!H3-$C$10+1,0)</f>
        <v>2</v>
      </c>
      <c r="I51" s="9">
        <f>IF(Model!I3&gt;=$C$10,Model!I3-$C$10+1,0)</f>
        <v>3</v>
      </c>
      <c r="J51" s="9">
        <f>IF(Model!J3&gt;=$C$10,Model!J3-$C$10+1,0)</f>
        <v>4</v>
      </c>
      <c r="K51" s="9">
        <f>IF(Model!K3&gt;=$C$10,Model!K3-$C$10+1,0)</f>
        <v>5</v>
      </c>
      <c r="L51" s="9">
        <f>IF(Model!L3&gt;=$C$10,Model!L3-$C$10+1,0)</f>
        <v>6</v>
      </c>
      <c r="M51" s="9">
        <f>IF(Model!M3&gt;=$C$10,Model!M3-$C$10+1,0)</f>
        <v>7</v>
      </c>
      <c r="N51" s="9">
        <f>IF(Model!N3&gt;=$C$10,Model!N3-$C$10+1,0)</f>
        <v>8</v>
      </c>
      <c r="O51" s="9">
        <f>IF(Model!O3&gt;=$C$10,Model!O3-$C$10+1,0)</f>
        <v>9</v>
      </c>
      <c r="P51" s="9">
        <f>IF(Model!P3&gt;=$C$10,Model!P3-$C$10+1,0)</f>
        <v>10</v>
      </c>
      <c r="Q51" s="9">
        <f>IF(Model!Q3&gt;=$C$10,Model!Q3-$C$10+1,0)</f>
        <v>11</v>
      </c>
      <c r="R51" s="9">
        <f>IF(Model!R3&gt;=$C$10,Model!R3-$C$10+1,0)</f>
        <v>12</v>
      </c>
      <c r="S51" s="9">
        <f>IF(Model!S3&gt;=$C$10,Model!S3-$C$10+1,0)</f>
        <v>13</v>
      </c>
      <c r="T51" s="9">
        <f>IF(Model!T3&gt;=$C$10,Model!T3-$C$10+1,0)</f>
        <v>14</v>
      </c>
      <c r="U51" s="9">
        <f>IF(Model!U3&gt;=$C$10,Model!U3-$C$10+1,0)</f>
        <v>15</v>
      </c>
      <c r="V51" s="9">
        <f>IF(Model!V3&gt;=$C$10,Model!V3-$C$10+1,0)</f>
        <v>16</v>
      </c>
      <c r="W51" s="9">
        <f>IF(Model!W3&gt;=$C$10,Model!W3-$C$10+1,0)</f>
        <v>17</v>
      </c>
      <c r="X51" s="9">
        <f>IF(Model!X3&gt;=$C$10,Model!X3-$C$10+1,0)</f>
        <v>18</v>
      </c>
      <c r="Y51" s="9">
        <f>IF(Model!Y3&gt;=$C$10,Model!Y3-$C$10+1,0)</f>
        <v>19</v>
      </c>
      <c r="Z51" s="9">
        <f>IF(Model!Z3&gt;=$C$10,Model!Z3-$C$10+1,0)</f>
        <v>20</v>
      </c>
      <c r="AA51" s="9">
        <f>IF(Model!AA3&gt;=$C$10,Model!AA3-$C$10+1,0)</f>
        <v>21</v>
      </c>
      <c r="AB51" s="9">
        <f>IF(Model!AB3&gt;=$C$10,Model!AB3-$C$10+1,0)</f>
        <v>22</v>
      </c>
      <c r="AC51" s="9">
        <f>IF(Model!AC3&gt;=$C$10,Model!AC3-$C$10+1,0)</f>
        <v>23</v>
      </c>
      <c r="AD51" s="9">
        <f>IF(Model!AD3&gt;=$C$10,Model!AD3-$C$10+1,0)</f>
        <v>24</v>
      </c>
      <c r="AE51" s="9">
        <f>IF(Model!AE3&gt;=$C$10,Model!AE3-$C$10+1,0)</f>
        <v>25</v>
      </c>
      <c r="AF51" s="9">
        <f>IF(Model!AF3&gt;=$C$10,Model!AF3-$C$10+1,0)</f>
        <v>26</v>
      </c>
      <c r="AG51" s="9">
        <f>IF(Model!AG3&gt;=$C$10,Model!AG3-$C$10+1,0)</f>
        <v>27</v>
      </c>
    </row>
    <row r="52" spans="1:33" ht="15" customHeight="1" x14ac:dyDescent="0.3">
      <c r="A52" s="9" t="s">
        <v>342</v>
      </c>
      <c r="D52" s="21">
        <f>IF(Model!D3&lt;=4,$B$10*INDEX(Assumptions!$B$24:$E$24,Model!D3),0)*(1+Assumptions!$B$76)</f>
        <v>0.77</v>
      </c>
      <c r="E52" s="21">
        <f>IF(Model!E3&lt;=4,$B$10*INDEX(Assumptions!$B$24:$E$24,Model!E3),0)*(1+Assumptions!$B$76)</f>
        <v>2.31</v>
      </c>
      <c r="F52" s="21">
        <f>IF(Model!F3&lt;=4,$B$10*INDEX(Assumptions!$B$24:$E$24,Model!F3),0)*(1+Assumptions!$B$76)</f>
        <v>3.08</v>
      </c>
      <c r="G52" s="21">
        <f>IF(Model!G3&lt;=4,$B$10*INDEX(Assumptions!$B$24:$E$24,Model!G3),0)*(1+Assumptions!$B$76)</f>
        <v>1.54</v>
      </c>
      <c r="H52" s="21">
        <f>IF(Model!H3&lt;=4,$B$10*INDEX(Assumptions!$B$24:$E$24,Model!H3),0)*(1+Assumptions!$B$76)</f>
        <v>0</v>
      </c>
      <c r="I52" s="21">
        <f>IF(Model!I3&lt;=4,$B$10*INDEX(Assumptions!$B$24:$E$24,Model!I3),0)*(1+Assumptions!$B$76)</f>
        <v>0</v>
      </c>
      <c r="J52" s="21">
        <f>IF(Model!J3&lt;=4,$B$10*INDEX(Assumptions!$B$24:$E$24,Model!J3),0)*(1+Assumptions!$B$76)</f>
        <v>0</v>
      </c>
      <c r="K52" s="21">
        <f>IF(Model!K3&lt;=4,$B$10*INDEX(Assumptions!$B$24:$E$24,Model!K3),0)*(1+Assumptions!$B$76)</f>
        <v>0</v>
      </c>
      <c r="L52" s="21">
        <f>IF(Model!L3&lt;=4,$B$10*INDEX(Assumptions!$B$24:$E$24,Model!L3),0)*(1+Assumptions!$B$76)</f>
        <v>0</v>
      </c>
      <c r="M52" s="21">
        <f>IF(Model!M3&lt;=4,$B$10*INDEX(Assumptions!$B$24:$E$24,Model!M3),0)*(1+Assumptions!$B$76)</f>
        <v>0</v>
      </c>
      <c r="N52" s="21">
        <f>IF(Model!N3&lt;=4,$B$10*INDEX(Assumptions!$B$24:$E$24,Model!N3),0)*(1+Assumptions!$B$76)</f>
        <v>0</v>
      </c>
      <c r="O52" s="21">
        <f>IF(Model!O3&lt;=4,$B$10*INDEX(Assumptions!$B$24:$E$24,Model!O3),0)*(1+Assumptions!$B$76)</f>
        <v>0</v>
      </c>
      <c r="P52" s="21">
        <f>IF(Model!P3&lt;=4,$B$10*INDEX(Assumptions!$B$24:$E$24,Model!P3),0)*(1+Assumptions!$B$76)</f>
        <v>0</v>
      </c>
      <c r="Q52" s="21">
        <f>IF(Model!Q3&lt;=4,$B$10*INDEX(Assumptions!$B$24:$E$24,Model!Q3),0)*(1+Assumptions!$B$76)</f>
        <v>0</v>
      </c>
      <c r="R52" s="21">
        <f>IF(Model!R3&lt;=4,$B$10*INDEX(Assumptions!$B$24:$E$24,Model!R3),0)*(1+Assumptions!$B$76)</f>
        <v>0</v>
      </c>
      <c r="S52" s="21">
        <f>IF(Model!S3&lt;=4,$B$10*INDEX(Assumptions!$B$24:$E$24,Model!S3),0)*(1+Assumptions!$B$76)</f>
        <v>0</v>
      </c>
      <c r="T52" s="21">
        <f>IF(Model!T3&lt;=4,$B$10*INDEX(Assumptions!$B$24:$E$24,Model!T3),0)*(1+Assumptions!$B$76)</f>
        <v>0</v>
      </c>
      <c r="U52" s="21">
        <f>IF(Model!U3&lt;=4,$B$10*INDEX(Assumptions!$B$24:$E$24,Model!U3),0)*(1+Assumptions!$B$76)</f>
        <v>0</v>
      </c>
      <c r="V52" s="21">
        <f>IF(Model!V3&lt;=4,$B$10*INDEX(Assumptions!$B$24:$E$24,Model!V3),0)*(1+Assumptions!$B$76)</f>
        <v>0</v>
      </c>
      <c r="W52" s="21">
        <f>IF(Model!W3&lt;=4,$B$10*INDEX(Assumptions!$B$24:$E$24,Model!W3),0)*(1+Assumptions!$B$76)</f>
        <v>0</v>
      </c>
      <c r="X52" s="21">
        <f>IF(Model!X3&lt;=4,$B$10*INDEX(Assumptions!$B$24:$E$24,Model!X3),0)*(1+Assumptions!$B$76)</f>
        <v>0</v>
      </c>
      <c r="Y52" s="21">
        <f>IF(Model!Y3&lt;=4,$B$10*INDEX(Assumptions!$B$24:$E$24,Model!Y3),0)*(1+Assumptions!$B$76)</f>
        <v>0</v>
      </c>
      <c r="Z52" s="21">
        <f>IF(Model!Z3&lt;=4,$B$10*INDEX(Assumptions!$B$24:$E$24,Model!Z3),0)*(1+Assumptions!$B$76)</f>
        <v>0</v>
      </c>
      <c r="AA52" s="21">
        <f>IF(Model!AA3&lt;=4,$B$10*INDEX(Assumptions!$B$24:$E$24,Model!AA3),0)*(1+Assumptions!$B$76)</f>
        <v>0</v>
      </c>
      <c r="AB52" s="21">
        <f>IF(Model!AB3&lt;=4,$B$10*INDEX(Assumptions!$B$24:$E$24,Model!AB3),0)*(1+Assumptions!$B$76)</f>
        <v>0</v>
      </c>
      <c r="AC52" s="21">
        <f>IF(Model!AC3&lt;=4,$B$10*INDEX(Assumptions!$B$24:$E$24,Model!AC3),0)*(1+Assumptions!$B$76)</f>
        <v>0</v>
      </c>
      <c r="AD52" s="21">
        <f>IF(Model!AD3&lt;=4,$B$10*INDEX(Assumptions!$B$24:$E$24,Model!AD3),0)*(1+Assumptions!$B$76)</f>
        <v>0</v>
      </c>
      <c r="AE52" s="21">
        <f>IF(Model!AE3&lt;=4,$B$10*INDEX(Assumptions!$B$24:$E$24,Model!AE3),0)*(1+Assumptions!$B$76)</f>
        <v>0</v>
      </c>
      <c r="AF52" s="21">
        <f>IF(Model!AF3&lt;=4,$B$10*INDEX(Assumptions!$B$24:$E$24,Model!AF3),0)*(1+Assumptions!$B$76)</f>
        <v>0</v>
      </c>
      <c r="AG52" s="21">
        <f>IF(Model!AG3&lt;=4,$B$10*INDEX(Assumptions!$B$24:$E$24,Model!AG3),0)*(1+Assumptions!$B$76)</f>
        <v>0</v>
      </c>
    </row>
    <row r="53" spans="1:33" ht="15" customHeight="1" x14ac:dyDescent="0.3">
      <c r="A53" s="9" t="s">
        <v>343</v>
      </c>
      <c r="D53" s="21">
        <f>$D$10*$E$10*(1+Assumptions!$B$75)*IF(D51&lt;=0,0,INDEX(Assumptions!$B$57:$F$57,MIN(D51,5)))*8760*$F$10*(1+Assumptions!$B$71)^(Model!D3-1)*Assumptions!$B$80/1000000</f>
        <v>0</v>
      </c>
      <c r="E53" s="21">
        <f>$D$10*$E$10*(1+Assumptions!$B$75)*IF(E51&lt;=0,0,INDEX(Assumptions!$B$57:$F$57,MIN(E51,5)))*8760*$F$10*(1+Assumptions!$B$71)^(Model!E3-1)*Assumptions!$B$80/1000000</f>
        <v>0</v>
      </c>
      <c r="F53" s="21">
        <f>$D$10*$E$10*(1+Assumptions!$B$75)*IF(F51&lt;=0,0,INDEX(Assumptions!$B$57:$F$57,MIN(F51,5)))*8760*$F$10*(1+Assumptions!$B$71)^(Model!F3-1)*Assumptions!$B$80/1000000</f>
        <v>0</v>
      </c>
      <c r="G53" s="21">
        <f>$D$10*$E$10*(1+Assumptions!$B$75)*IF(G51&lt;=0,0,INDEX(Assumptions!$B$57:$F$57,MIN(G51,5)))*8760*$F$10*(1+Assumptions!$B$71)^(Model!G3-1)*Assumptions!$B$80/1000000</f>
        <v>0.63853138934549991</v>
      </c>
      <c r="H53" s="21">
        <f>$D$10*$E$10*(1+Assumptions!$B$75)*IF(H51&lt;=0,0,INDEX(Assumptions!$B$57:$F$57,MIN(H51,5)))*8760*$F$10*(1+Assumptions!$B$71)^(Model!H3-1)*Assumptions!$B$80/1000000</f>
        <v>0.76357711975899367</v>
      </c>
      <c r="I53" s="21">
        <f>$D$10*$E$10*(1+Assumptions!$B$75)*IF(I51&lt;=0,0,INDEX(Assumptions!$B$57:$F$57,MIN(I51,5)))*8760*$F$10*(1+Assumptions!$B$71)^(Model!I3-1)*Assumptions!$B$80/1000000</f>
        <v>0.95038080798574731</v>
      </c>
      <c r="J53" s="21">
        <f>$D$10*$E$10*(1+Assumptions!$B$75)*IF(J51&lt;=0,0,INDEX(Assumptions!$B$57:$F$57,MIN(J51,5)))*8760*$F$10*(1+Assumptions!$B$71)^(Model!J3-1)*Assumptions!$B$80/1000000</f>
        <v>1.0887450726777899</v>
      </c>
      <c r="K53" s="21">
        <f>$D$10*$E$10*(1+Assumptions!$B$75)*IF(K51&lt;=0,0,INDEX(Assumptions!$B$57:$F$57,MIN(K51,5)))*8760*$F$10*(1+Assumptions!$B$71)^(Model!K3-1)*Assumptions!$B$80/1000000</f>
        <v>1.1746986310470888</v>
      </c>
      <c r="L53" s="21">
        <f>$D$10*$E$10*(1+Assumptions!$B$75)*IF(L51&lt;=0,0,INDEX(Assumptions!$B$57:$F$57,MIN(L51,5)))*8760*$F$10*(1+Assumptions!$B$71)^(Model!L3-1)*Assumptions!$B$80/1000000</f>
        <v>1.2040660968232659</v>
      </c>
      <c r="M53" s="21">
        <f>$D$10*$E$10*(1+Assumptions!$B$75)*IF(M51&lt;=0,0,INDEX(Assumptions!$B$57:$F$57,MIN(M51,5)))*8760*$F$10*(1+Assumptions!$B$71)^(Model!M3-1)*Assumptions!$B$80/1000000</f>
        <v>1.2341677492438476</v>
      </c>
      <c r="N53" s="21">
        <f>$D$10*$E$10*(1+Assumptions!$B$75)*IF(N51&lt;=0,0,INDEX(Assumptions!$B$57:$F$57,MIN(N51,5)))*8760*$F$10*(1+Assumptions!$B$71)^(Model!N3-1)*Assumptions!$B$80/1000000</f>
        <v>1.2650219429749436</v>
      </c>
      <c r="O53" s="21">
        <f>$D$10*$E$10*(1+Assumptions!$B$75)*IF(O51&lt;=0,0,INDEX(Assumptions!$B$57:$F$57,MIN(O51,5)))*8760*$F$10*(1+Assumptions!$B$71)^(Model!O3-1)*Assumptions!$B$80/1000000</f>
        <v>1.2966474915493174</v>
      </c>
      <c r="P53" s="21">
        <f>$D$10*$E$10*(1+Assumptions!$B$75)*IF(P51&lt;=0,0,INDEX(Assumptions!$B$57:$F$57,MIN(P51,5)))*8760*$F$10*(1+Assumptions!$B$71)^(Model!P3-1)*Assumptions!$B$80/1000000</f>
        <v>1.3290636788380503</v>
      </c>
      <c r="Q53" s="21">
        <f>$D$10*$E$10*(1+Assumptions!$B$75)*IF(Q51&lt;=0,0,INDEX(Assumptions!$B$57:$F$57,MIN(Q51,5)))*8760*$F$10*(1+Assumptions!$B$71)^(Model!Q3-1)*Assumptions!$B$80/1000000</f>
        <v>1.3622902708090012</v>
      </c>
      <c r="R53" s="21">
        <f>$D$10*$E$10*(1+Assumptions!$B$75)*IF(R51&lt;=0,0,INDEX(Assumptions!$B$57:$F$57,MIN(R51,5)))*8760*$F$10*(1+Assumptions!$B$71)^(Model!R3-1)*Assumptions!$B$80/1000000</f>
        <v>1.3963475275792263</v>
      </c>
      <c r="S53" s="21">
        <f>$D$10*$E$10*(1+Assumptions!$B$75)*IF(S51&lt;=0,0,INDEX(Assumptions!$B$57:$F$57,MIN(S51,5)))*8760*$F$10*(1+Assumptions!$B$71)^(Model!S3-1)*Assumptions!$B$80/1000000</f>
        <v>1.4312562157687072</v>
      </c>
      <c r="T53" s="21">
        <f>$D$10*$E$10*(1+Assumptions!$B$75)*IF(T51&lt;=0,0,INDEX(Assumptions!$B$57:$F$57,MIN(T51,5)))*8760*$F$10*(1+Assumptions!$B$71)^(Model!T3-1)*Assumptions!$B$80/1000000</f>
        <v>1.4670376211629246</v>
      </c>
      <c r="U53" s="21">
        <f>$D$10*$E$10*(1+Assumptions!$B$75)*IF(U51&lt;=0,0,INDEX(Assumptions!$B$57:$F$57,MIN(U51,5)))*8760*$F$10*(1+Assumptions!$B$71)^(Model!U3-1)*Assumptions!$B$80/1000000</f>
        <v>1.5037135616919977</v>
      </c>
      <c r="V53" s="21">
        <f>$D$10*$E$10*(1+Assumptions!$B$75)*IF(V51&lt;=0,0,INDEX(Assumptions!$B$57:$F$57,MIN(V51,5)))*8760*$F$10*(1+Assumptions!$B$71)^(Model!V3-1)*Assumptions!$B$80/1000000</f>
        <v>1.5413064007342976</v>
      </c>
      <c r="W53" s="21">
        <f>$D$10*$E$10*(1+Assumptions!$B$75)*IF(W51&lt;=0,0,INDEX(Assumptions!$B$57:$F$57,MIN(W51,5)))*8760*$F$10*(1+Assumptions!$B$71)^(Model!W3-1)*Assumptions!$B$80/1000000</f>
        <v>1.5798390607526551</v>
      </c>
      <c r="X53" s="21">
        <f>$D$10*$E$10*(1+Assumptions!$B$75)*IF(X51&lt;=0,0,INDEX(Assumptions!$B$57:$F$57,MIN(X51,5)))*8760*$F$10*(1+Assumptions!$B$71)^(Model!X3-1)*Assumptions!$B$80/1000000</f>
        <v>1.6193350372714712</v>
      </c>
      <c r="Y53" s="21">
        <f>$D$10*$E$10*(1+Assumptions!$B$75)*IF(Y51&lt;=0,0,INDEX(Assumptions!$B$57:$F$57,MIN(Y51,5)))*8760*$F$10*(1+Assumptions!$B$71)^(Model!Y3-1)*Assumptions!$B$80/1000000</f>
        <v>1.6598184132032578</v>
      </c>
      <c r="Z53" s="21">
        <f>$D$10*$E$10*(1+Assumptions!$B$75)*IF(Z51&lt;=0,0,INDEX(Assumptions!$B$57:$F$57,MIN(Z51,5)))*8760*$F$10*(1+Assumptions!$B$71)^(Model!Z3-1)*Assumptions!$B$80/1000000</f>
        <v>1.7013138735333393</v>
      </c>
      <c r="AA53" s="21">
        <f>$D$10*$E$10*(1+Assumptions!$B$75)*IF(AA51&lt;=0,0,INDEX(Assumptions!$B$57:$F$57,MIN(AA51,5)))*8760*$F$10*(1+Assumptions!$B$71)^(Model!AA3-1)*Assumptions!$B$80/1000000</f>
        <v>1.7438467203716725</v>
      </c>
      <c r="AB53" s="21">
        <f>$D$10*$E$10*(1+Assumptions!$B$75)*IF(AB51&lt;=0,0,INDEX(Assumptions!$B$57:$F$57,MIN(AB51,5)))*8760*$F$10*(1+Assumptions!$B$71)^(Model!AB3-1)*Assumptions!$B$80/1000000</f>
        <v>1.7874428883809645</v>
      </c>
      <c r="AC53" s="21">
        <f>$D$10*$E$10*(1+Assumptions!$B$75)*IF(AC51&lt;=0,0,INDEX(Assumptions!$B$57:$F$57,MIN(AC51,5)))*8760*$F$10*(1+Assumptions!$B$71)^(Model!AC3-1)*Assumptions!$B$80/1000000</f>
        <v>1.8321289605904882</v>
      </c>
      <c r="AD53" s="21">
        <f>$D$10*$E$10*(1+Assumptions!$B$75)*IF(AD51&lt;=0,0,INDEX(Assumptions!$B$57:$F$57,MIN(AD51,5)))*8760*$F$10*(1+Assumptions!$B$71)^(Model!AD3-1)*Assumptions!$B$80/1000000</f>
        <v>1.8779321846052506</v>
      </c>
      <c r="AE53" s="21">
        <f>$D$10*$E$10*(1+Assumptions!$B$75)*IF(AE51&lt;=0,0,INDEX(Assumptions!$B$57:$F$57,MIN(AE51,5)))*8760*$F$10*(1+Assumptions!$B$71)^(Model!AE3-1)*Assumptions!$B$80/1000000</f>
        <v>1.9248804892203815</v>
      </c>
      <c r="AF53" s="21">
        <f>$D$10*$E$10*(1+Assumptions!$B$75)*IF(AF51&lt;=0,0,INDEX(Assumptions!$B$57:$F$57,MIN(AF51,5)))*8760*$F$10*(1+Assumptions!$B$71)^(Model!AF3-1)*Assumptions!$B$80/1000000</f>
        <v>1.9730025014508912</v>
      </c>
      <c r="AG53" s="21">
        <f>$D$10*$E$10*(1+Assumptions!$B$75)*IF(AG51&lt;=0,0,INDEX(Assumptions!$B$57:$F$57,MIN(AG51,5)))*8760*$F$10*(1+Assumptions!$B$71)^(Model!AG3-1)*Assumptions!$B$80/1000000</f>
        <v>2.0223275639871634</v>
      </c>
    </row>
    <row r="54" spans="1:33" ht="15" customHeight="1" x14ac:dyDescent="0.3">
      <c r="A54" s="9" t="s">
        <v>344</v>
      </c>
      <c r="D54" s="21">
        <f>$G$10*(IF(D51&lt;=0,0,IF(D51&lt;=5,$H$10/5*D51,IF(D51&lt;=10,$H$10+($I$10-$H$10)*(D51-5)/5,$I$10))))*365*(1+Assumptions!$B$75)*$J$10*(1+Assumptions!$B$71)^(Model!D3-1)*Assumptions!$B$80/1000000</f>
        <v>0</v>
      </c>
      <c r="E54" s="21">
        <f>$G$10*(IF(E51&lt;=0,0,IF(E51&lt;=5,$H$10/5*E51,IF(E51&lt;=10,$H$10+($I$10-$H$10)*(E51-5)/5,$I$10))))*365*(1+Assumptions!$B$75)*$J$10*(1+Assumptions!$B$71)^(Model!E3-1)*Assumptions!$B$80/1000000</f>
        <v>0</v>
      </c>
      <c r="F54" s="21">
        <f>$G$10*(IF(F51&lt;=0,0,IF(F51&lt;=5,$H$10/5*F51,IF(F51&lt;=10,$H$10+($I$10-$H$10)*(F51-5)/5,$I$10))))*365*(1+Assumptions!$B$75)*$J$10*(1+Assumptions!$B$71)^(Model!F3-1)*Assumptions!$B$80/1000000</f>
        <v>0</v>
      </c>
      <c r="G54" s="21">
        <f>$G$10*(IF(G51&lt;=0,0,IF(G51&lt;=5,$H$10/5*G51,IF(G51&lt;=10,$H$10+($I$10-$H$10)*(G51-5)/5,$I$10))))*365*(1+Assumptions!$B$75)*$J$10*(1+Assumptions!$B$71)^(Model!G3-1)*Assumptions!$B$80/1000000</f>
        <v>2.8890283242187492E-2</v>
      </c>
      <c r="H54" s="21">
        <f>$G$10*(IF(H51&lt;=0,0,IF(H51&lt;=5,$H$10/5*H51,IF(H51&lt;=10,$H$10+($I$10-$H$10)*(H51-5)/5,$I$10))))*365*(1+Assumptions!$B$75)*$J$10*(1+Assumptions!$B$71)^(Model!H3-1)*Assumptions!$B$80/1000000</f>
        <v>5.9225080646484358E-2</v>
      </c>
      <c r="I54" s="21">
        <f>$G$10*(IF(I51&lt;=0,0,IF(I51&lt;=5,$H$10/5*I51,IF(I51&lt;=10,$H$10+($I$10-$H$10)*(I51-5)/5,$I$10))))*365*(1+Assumptions!$B$75)*$J$10*(1+Assumptions!$B$71)^(Model!I3-1)*Assumptions!$B$80/1000000</f>
        <v>9.1058561493969681E-2</v>
      </c>
      <c r="J54" s="21">
        <f>$G$10*(IF(J51&lt;=0,0,IF(J51&lt;=5,$H$10/5*J51,IF(J51&lt;=10,$H$10+($I$10-$H$10)*(J51-5)/5,$I$10))))*365*(1+Assumptions!$B$75)*$J$10*(1+Assumptions!$B$71)^(Model!J3-1)*Assumptions!$B$80/1000000</f>
        <v>0.12444670070842521</v>
      </c>
      <c r="K54" s="21">
        <f>$G$10*(IF(K51&lt;=0,0,IF(K51&lt;=5,$H$10/5*K51,IF(K51&lt;=10,$H$10+($I$10-$H$10)*(K51-5)/5,$I$10))))*365*(1+Assumptions!$B$75)*$J$10*(1+Assumptions!$B$71)^(Model!K3-1)*Assumptions!$B$80/1000000</f>
        <v>0.15944733528266983</v>
      </c>
      <c r="L54" s="21">
        <f>$G$10*(IF(L51&lt;=0,0,IF(L51&lt;=5,$H$10/5*L51,IF(L51&lt;=10,$H$10+($I$10-$H$10)*(L51-5)/5,$I$10))))*365*(1+Assumptions!$B$75)*$J$10*(1+Assumptions!$B$71)^(Model!L3-1)*Assumptions!$B$80/1000000</f>
        <v>0.18678116418827034</v>
      </c>
      <c r="M54" s="21">
        <f>$G$10*(IF(M51&lt;=0,0,IF(M51&lt;=5,$H$10/5*M51,IF(M51&lt;=10,$H$10+($I$10-$H$10)*(M51-5)/5,$I$10))))*365*(1+Assumptions!$B$75)*$J$10*(1+Assumptions!$B$71)^(Model!M3-1)*Assumptions!$B$80/1000000</f>
        <v>0.21538202995459924</v>
      </c>
      <c r="N54" s="21">
        <f>$G$10*(IF(N51&lt;=0,0,IF(N51&lt;=5,$H$10/5*N51,IF(N51&lt;=10,$H$10+($I$10-$H$10)*(N51-5)/5,$I$10))))*365*(1+Assumptions!$B$75)*$J$10*(1+Assumptions!$B$71)^(Model!N3-1)*Assumptions!$B$80/1000000</f>
        <v>0.24529620078162695</v>
      </c>
      <c r="O54" s="21">
        <f>$G$10*(IF(O51&lt;=0,0,IF(O51&lt;=5,$H$10/5*O51,IF(O51&lt;=10,$H$10+($I$10-$H$10)*(O51-5)/5,$I$10))))*365*(1+Assumptions!$B$75)*$J$10*(1+Assumptions!$B$71)^(Model!O3-1)*Assumptions!$B$80/1000000</f>
        <v>0.27657146638128433</v>
      </c>
      <c r="P54" s="21">
        <f>$G$10*(IF(P51&lt;=0,0,IF(P51&lt;=5,$H$10/5*P51,IF(P51&lt;=10,$H$10+($I$10-$H$10)*(P51-5)/5,$I$10))))*365*(1+Assumptions!$B$75)*$J$10*(1+Assumptions!$B$71)^(Model!P3-1)*Assumptions!$B$80/1000000</f>
        <v>0.30925718513543615</v>
      </c>
      <c r="Q54" s="21">
        <f>$G$10*(IF(Q51&lt;=0,0,IF(Q51&lt;=5,$H$10/5*Q51,IF(Q51&lt;=10,$H$10+($I$10-$H$10)*(Q51-5)/5,$I$10))))*365*(1+Assumptions!$B$75)*$J$10*(1+Assumptions!$B$71)^(Model!Q3-1)*Assumptions!$B$80/1000000</f>
        <v>0.31698861476382201</v>
      </c>
      <c r="R54" s="21">
        <f>$G$10*(IF(R51&lt;=0,0,IF(R51&lt;=5,$H$10/5*R51,IF(R51&lt;=10,$H$10+($I$10-$H$10)*(R51-5)/5,$I$10))))*365*(1+Assumptions!$B$75)*$J$10*(1+Assumptions!$B$71)^(Model!R3-1)*Assumptions!$B$80/1000000</f>
        <v>0.32491333013291751</v>
      </c>
      <c r="S54" s="21">
        <f>$G$10*(IF(S51&lt;=0,0,IF(S51&lt;=5,$H$10/5*S51,IF(S51&lt;=10,$H$10+($I$10-$H$10)*(S51-5)/5,$I$10))))*365*(1+Assumptions!$B$75)*$J$10*(1+Assumptions!$B$71)^(Model!S3-1)*Assumptions!$B$80/1000000</f>
        <v>0.33303616338624048</v>
      </c>
      <c r="T54" s="21">
        <f>$G$10*(IF(T51&lt;=0,0,IF(T51&lt;=5,$H$10/5*T51,IF(T51&lt;=10,$H$10+($I$10-$H$10)*(T51-5)/5,$I$10))))*365*(1+Assumptions!$B$75)*$J$10*(1+Assumptions!$B$71)^(Model!T3-1)*Assumptions!$B$80/1000000</f>
        <v>0.34136206747089648</v>
      </c>
      <c r="U54" s="21">
        <f>$G$10*(IF(U51&lt;=0,0,IF(U51&lt;=5,$H$10/5*U51,IF(U51&lt;=10,$H$10+($I$10-$H$10)*(U51-5)/5,$I$10))))*365*(1+Assumptions!$B$75)*$J$10*(1+Assumptions!$B$71)^(Model!U3-1)*Assumptions!$B$80/1000000</f>
        <v>0.34989611915766883</v>
      </c>
      <c r="V54" s="21">
        <f>$G$10*(IF(V51&lt;=0,0,IF(V51&lt;=5,$H$10/5*V51,IF(V51&lt;=10,$H$10+($I$10-$H$10)*(V51-5)/5,$I$10))))*365*(1+Assumptions!$B$75)*$J$10*(1+Assumptions!$B$71)^(Model!V3-1)*Assumptions!$B$80/1000000</f>
        <v>0.3586435221366106</v>
      </c>
      <c r="W54" s="21">
        <f>$G$10*(IF(W51&lt;=0,0,IF(W51&lt;=5,$H$10/5*W51,IF(W51&lt;=10,$H$10+($I$10-$H$10)*(W51-5)/5,$I$10))))*365*(1+Assumptions!$B$75)*$J$10*(1+Assumptions!$B$71)^(Model!W3-1)*Assumptions!$B$80/1000000</f>
        <v>0.36760961019002586</v>
      </c>
      <c r="X54" s="21">
        <f>$G$10*(IF(X51&lt;=0,0,IF(X51&lt;=5,$H$10/5*X51,IF(X51&lt;=10,$H$10+($I$10-$H$10)*(X51-5)/5,$I$10))))*365*(1+Assumptions!$B$75)*$J$10*(1+Assumptions!$B$71)^(Model!X3-1)*Assumptions!$B$80/1000000</f>
        <v>0.37679985044477643</v>
      </c>
      <c r="Y54" s="21">
        <f>$G$10*(IF(Y51&lt;=0,0,IF(Y51&lt;=5,$H$10/5*Y51,IF(Y51&lt;=10,$H$10+($I$10-$H$10)*(Y51-5)/5,$I$10))))*365*(1+Assumptions!$B$75)*$J$10*(1+Assumptions!$B$71)^(Model!Y3-1)*Assumptions!$B$80/1000000</f>
        <v>0.38621984670589576</v>
      </c>
      <c r="Z54" s="21">
        <f>$G$10*(IF(Z51&lt;=0,0,IF(Z51&lt;=5,$H$10/5*Z51,IF(Z51&lt;=10,$H$10+($I$10-$H$10)*(Z51-5)/5,$I$10))))*365*(1+Assumptions!$B$75)*$J$10*(1+Assumptions!$B$71)^(Model!Z3-1)*Assumptions!$B$80/1000000</f>
        <v>0.3958753428735432</v>
      </c>
      <c r="AA54" s="21">
        <f>$G$10*(IF(AA51&lt;=0,0,IF(AA51&lt;=5,$H$10/5*AA51,IF(AA51&lt;=10,$H$10+($I$10-$H$10)*(AA51-5)/5,$I$10))))*365*(1+Assumptions!$B$75)*$J$10*(1+Assumptions!$B$71)^(Model!AA3-1)*Assumptions!$B$80/1000000</f>
        <v>0.4057722264453818</v>
      </c>
      <c r="AB54" s="21">
        <f>$G$10*(IF(AB51&lt;=0,0,IF(AB51&lt;=5,$H$10/5*AB51,IF(AB51&lt;=10,$H$10+($I$10-$H$10)*(AB51-5)/5,$I$10))))*365*(1+Assumptions!$B$75)*$J$10*(1+Assumptions!$B$71)^(Model!AB3-1)*Assumptions!$B$80/1000000</f>
        <v>0.4159165321065163</v>
      </c>
      <c r="AC54" s="21">
        <f>$G$10*(IF(AC51&lt;=0,0,IF(AC51&lt;=5,$H$10/5*AC51,IF(AC51&lt;=10,$H$10+($I$10-$H$10)*(AC51-5)/5,$I$10))))*365*(1+Assumptions!$B$75)*$J$10*(1+Assumptions!$B$71)^(Model!AC3-1)*Assumptions!$B$80/1000000</f>
        <v>0.42631444540917912</v>
      </c>
      <c r="AD54" s="21">
        <f>$G$10*(IF(AD51&lt;=0,0,IF(AD51&lt;=5,$H$10/5*AD51,IF(AD51&lt;=10,$H$10+($I$10-$H$10)*(AD51-5)/5,$I$10))))*365*(1+Assumptions!$B$75)*$J$10*(1+Assumptions!$B$71)^(Model!AD3-1)*Assumptions!$B$80/1000000</f>
        <v>0.43697230654440861</v>
      </c>
      <c r="AE54" s="21">
        <f>$G$10*(IF(AE51&lt;=0,0,IF(AE51&lt;=5,$H$10/5*AE51,IF(AE51&lt;=10,$H$10+($I$10-$H$10)*(AE51-5)/5,$I$10))))*365*(1+Assumptions!$B$75)*$J$10*(1+Assumptions!$B$71)^(Model!AE3-1)*Assumptions!$B$80/1000000</f>
        <v>0.44789661420801874</v>
      </c>
      <c r="AF54" s="21">
        <f>$G$10*(IF(AF51&lt;=0,0,IF(AF51&lt;=5,$H$10/5*AF51,IF(AF51&lt;=10,$H$10+($I$10-$H$10)*(AF51-5)/5,$I$10))))*365*(1+Assumptions!$B$75)*$J$10*(1+Assumptions!$B$71)^(Model!AF3-1)*Assumptions!$B$80/1000000</f>
        <v>0.45909402956321921</v>
      </c>
      <c r="AG54" s="21">
        <f>$G$10*(IF(AG51&lt;=0,0,IF(AG51&lt;=5,$H$10/5*AG51,IF(AG51&lt;=10,$H$10+($I$10-$H$10)*(AG51-5)/5,$I$10))))*365*(1+Assumptions!$B$75)*$J$10*(1+Assumptions!$B$71)^(Model!AG3-1)*Assumptions!$B$80/1000000</f>
        <v>0.47057138030229978</v>
      </c>
    </row>
    <row r="55" spans="1:33" ht="15" customHeight="1" x14ac:dyDescent="0.3">
      <c r="A55" s="9" t="s">
        <v>345</v>
      </c>
      <c r="D55" s="21">
        <f>$L$10*IF(D51&lt;=0,0,INDEX(Assumptions!$B$57:$F$57,MIN(D51,5)))*(1+Assumptions!$B$71)^(Model!D3-1)</f>
        <v>0</v>
      </c>
      <c r="E55" s="21">
        <f>$L$10*IF(E51&lt;=0,0,INDEX(Assumptions!$B$57:$F$57,MIN(E51,5)))*(1+Assumptions!$B$71)^(Model!E3-1)</f>
        <v>0</v>
      </c>
      <c r="F55" s="21">
        <f>$L$10*IF(F51&lt;=0,0,INDEX(Assumptions!$B$57:$F$57,MIN(F51,5)))*(1+Assumptions!$B$71)^(Model!F3-1)</f>
        <v>0</v>
      </c>
      <c r="G55" s="21">
        <f>$L$10*IF(G51&lt;=0,0,INDEX(Assumptions!$B$57:$F$57,MIN(G51,5)))*(1+Assumptions!$B$71)^(Model!G3-1)</f>
        <v>0.12664233749999998</v>
      </c>
      <c r="H55" s="21">
        <f>$L$10*IF(H51&lt;=0,0,INDEX(Assumptions!$B$57:$F$57,MIN(H51,5)))*(1+Assumptions!$B$71)^(Model!H3-1)</f>
        <v>0.15144312859374995</v>
      </c>
      <c r="I55" s="21">
        <f>$L$10*IF(I51&lt;=0,0,INDEX(Assumptions!$B$57:$F$57,MIN(I51,5)))*(1+Assumptions!$B$71)^(Model!I3-1)</f>
        <v>0.18849260826757808</v>
      </c>
      <c r="J55" s="21">
        <f>$L$10*IF(J51&lt;=0,0,INDEX(Assumptions!$B$57:$F$57,MIN(J51,5)))*(1+Assumptions!$B$71)^(Model!J3-1)</f>
        <v>0.21593491447124016</v>
      </c>
      <c r="K55" s="21">
        <f>$L$10*IF(K51&lt;=0,0,INDEX(Assumptions!$B$57:$F$57,MIN(K51,5)))*(1+Assumptions!$B$71)^(Model!K3-1)</f>
        <v>0.23298240771896966</v>
      </c>
      <c r="L55" s="21">
        <f>$L$10*IF(L51&lt;=0,0,INDEX(Assumptions!$B$57:$F$57,MIN(L51,5)))*(1+Assumptions!$B$71)^(Model!L3-1)</f>
        <v>0.23880696791194389</v>
      </c>
      <c r="M55" s="21">
        <f>$L$10*IF(M51&lt;=0,0,INDEX(Assumptions!$B$57:$F$57,MIN(M51,5)))*(1+Assumptions!$B$71)^(Model!M3-1)</f>
        <v>0.24477714210974244</v>
      </c>
      <c r="N55" s="21">
        <f>$L$10*IF(N51&lt;=0,0,INDEX(Assumptions!$B$57:$F$57,MIN(N51,5)))*(1+Assumptions!$B$71)^(Model!N3-1)</f>
        <v>0.250896570662486</v>
      </c>
      <c r="O55" s="21">
        <f>$L$10*IF(O51&lt;=0,0,INDEX(Assumptions!$B$57:$F$57,MIN(O51,5)))*(1+Assumptions!$B$71)^(Model!O3-1)</f>
        <v>0.25716898492904816</v>
      </c>
      <c r="P55" s="21">
        <f>$L$10*IF(P51&lt;=0,0,INDEX(Assumptions!$B$57:$F$57,MIN(P51,5)))*(1+Assumptions!$B$71)^(Model!P3-1)</f>
        <v>0.26359820955227431</v>
      </c>
      <c r="Q55" s="21">
        <f>$L$10*IF(Q51&lt;=0,0,INDEX(Assumptions!$B$57:$F$57,MIN(Q51,5)))*(1+Assumptions!$B$71)^(Model!Q3-1)</f>
        <v>0.27018816479108115</v>
      </c>
      <c r="R55" s="21">
        <f>$L$10*IF(R51&lt;=0,0,INDEX(Assumptions!$B$57:$F$57,MIN(R51,5)))*(1+Assumptions!$B$71)^(Model!R3-1)</f>
        <v>0.27694286891085818</v>
      </c>
      <c r="S55" s="21">
        <f>$L$10*IF(S51&lt;=0,0,INDEX(Assumptions!$B$57:$F$57,MIN(S51,5)))*(1+Assumptions!$B$71)^(Model!S3-1)</f>
        <v>0.28386644063362965</v>
      </c>
      <c r="T55" s="21">
        <f>$L$10*IF(T51&lt;=0,0,INDEX(Assumptions!$B$57:$F$57,MIN(T51,5)))*(1+Assumptions!$B$71)^(Model!T3-1)</f>
        <v>0.29096310164947037</v>
      </c>
      <c r="U55" s="21">
        <f>$L$10*IF(U51&lt;=0,0,INDEX(Assumptions!$B$57:$F$57,MIN(U51,5)))*(1+Assumptions!$B$71)^(Model!U3-1)</f>
        <v>0.29823717919070708</v>
      </c>
      <c r="V55" s="21">
        <f>$L$10*IF(V51&lt;=0,0,INDEX(Assumptions!$B$57:$F$57,MIN(V51,5)))*(1+Assumptions!$B$71)^(Model!V3-1)</f>
        <v>0.30569310867047478</v>
      </c>
      <c r="W55" s="21">
        <f>$L$10*IF(W51&lt;=0,0,INDEX(Assumptions!$B$57:$F$57,MIN(W51,5)))*(1+Assumptions!$B$71)^(Model!W3-1)</f>
        <v>0.31333543638723665</v>
      </c>
      <c r="X55" s="21">
        <f>$L$10*IF(X51&lt;=0,0,INDEX(Assumptions!$B$57:$F$57,MIN(X51,5)))*(1+Assumptions!$B$71)^(Model!X3-1)</f>
        <v>0.32116882229691757</v>
      </c>
      <c r="Y55" s="21">
        <f>$L$10*IF(Y51&lt;=0,0,INDEX(Assumptions!$B$57:$F$57,MIN(Y51,5)))*(1+Assumptions!$B$71)^(Model!Y3-1)</f>
        <v>0.32919804285434046</v>
      </c>
      <c r="Z55" s="21">
        <f>$L$10*IF(Z51&lt;=0,0,INDEX(Assumptions!$B$57:$F$57,MIN(Z51,5)))*(1+Assumptions!$B$71)^(Model!Z3-1)</f>
        <v>0.33742799392569894</v>
      </c>
      <c r="AA55" s="21">
        <f>$L$10*IF(AA51&lt;=0,0,INDEX(Assumptions!$B$57:$F$57,MIN(AA51,5)))*(1+Assumptions!$B$71)^(Model!AA3-1)</f>
        <v>0.34586369377384141</v>
      </c>
      <c r="AB55" s="21">
        <f>$L$10*IF(AB51&lt;=0,0,INDEX(Assumptions!$B$57:$F$57,MIN(AB51,5)))*(1+Assumptions!$B$71)^(Model!AB3-1)</f>
        <v>0.35451028611818747</v>
      </c>
      <c r="AC55" s="21">
        <f>$L$10*IF(AC51&lt;=0,0,INDEX(Assumptions!$B$57:$F$57,MIN(AC51,5)))*(1+Assumptions!$B$71)^(Model!AC3-1)</f>
        <v>0.36337304327114206</v>
      </c>
      <c r="AD55" s="21">
        <f>$L$10*IF(AD51&lt;=0,0,INDEX(Assumptions!$B$57:$F$57,MIN(AD51,5)))*(1+Assumptions!$B$71)^(Model!AD3-1)</f>
        <v>0.37245736935292062</v>
      </c>
      <c r="AE55" s="21">
        <f>$L$10*IF(AE51&lt;=0,0,INDEX(Assumptions!$B$57:$F$57,MIN(AE51,5)))*(1+Assumptions!$B$71)^(Model!AE3-1)</f>
        <v>0.38176880358674359</v>
      </c>
      <c r="AF55" s="21">
        <f>$L$10*IF(AF51&lt;=0,0,INDEX(Assumptions!$B$57:$F$57,MIN(AF51,5)))*(1+Assumptions!$B$71)^(Model!AF3-1)</f>
        <v>0.39131302367641213</v>
      </c>
      <c r="AG55" s="21">
        <f>$L$10*IF(AG51&lt;=0,0,INDEX(Assumptions!$B$57:$F$57,MIN(AG51,5)))*(1+Assumptions!$B$71)^(Model!AG3-1)</f>
        <v>0.40109584926832248</v>
      </c>
    </row>
    <row r="56" spans="1:33" ht="15" customHeight="1" x14ac:dyDescent="0.3">
      <c r="A56" s="9" t="s">
        <v>346</v>
      </c>
      <c r="D56" s="21">
        <f>IF(D51&gt;0,$K$10*(1+Assumptions!$B$71)^(Model!D3-1),0)</f>
        <v>0</v>
      </c>
      <c r="E56" s="21">
        <f>IF(E51&gt;0,$K$10*(1+Assumptions!$B$71)^(Model!E3-1),0)</f>
        <v>0</v>
      </c>
      <c r="F56" s="21">
        <f>IF(F51&gt;0,$K$10*(1+Assumptions!$B$71)^(Model!F3-1),0)</f>
        <v>0</v>
      </c>
      <c r="G56" s="21">
        <f>IF(G51&gt;0,$K$10*(1+Assumptions!$B$71)^(Model!G3-1),0)</f>
        <v>1.9437875781249998</v>
      </c>
      <c r="H56" s="21">
        <f>IF(H51&gt;0,$K$10*(1+Assumptions!$B$71)^(Model!H3-1),0)</f>
        <v>1.9923822675781244</v>
      </c>
      <c r="I56" s="21">
        <f>IF(I51&gt;0,$K$10*(1+Assumptions!$B$71)^(Model!I3-1),0)</f>
        <v>2.0421918242675776</v>
      </c>
      <c r="J56" s="21">
        <f>IF(J51&gt;0,$K$10*(1+Assumptions!$B$71)^(Model!J3-1),0)</f>
        <v>2.0932466198742667</v>
      </c>
      <c r="K56" s="21">
        <f>IF(K51&gt;0,$K$10*(1+Assumptions!$B$71)^(Model!K3-1),0)</f>
        <v>2.1455777853711235</v>
      </c>
      <c r="L56" s="21">
        <f>IF(L51&gt;0,$K$10*(1+Assumptions!$B$71)^(Model!L3-1),0)</f>
        <v>2.1992172300054014</v>
      </c>
      <c r="M56" s="21">
        <f>IF(M51&gt;0,$K$10*(1+Assumptions!$B$71)^(Model!M3-1),0)</f>
        <v>2.2541976607555361</v>
      </c>
      <c r="N56" s="21">
        <f>IF(N51&gt;0,$K$10*(1+Assumptions!$B$71)^(Model!N3-1),0)</f>
        <v>2.3105526022744245</v>
      </c>
      <c r="O56" s="21">
        <f>IF(O51&gt;0,$K$10*(1+Assumptions!$B$71)^(Model!O3-1),0)</f>
        <v>2.3683164173312852</v>
      </c>
      <c r="P56" s="21">
        <f>IF(P51&gt;0,$K$10*(1+Assumptions!$B$71)^(Model!P3-1),0)</f>
        <v>2.4275243277645671</v>
      </c>
      <c r="Q56" s="21">
        <f>IF(Q51&gt;0,$K$10*(1+Assumptions!$B$71)^(Model!Q3-1),0)</f>
        <v>2.488212435958681</v>
      </c>
      <c r="R56" s="21">
        <f>IF(R51&gt;0,$K$10*(1+Assumptions!$B$71)^(Model!R3-1),0)</f>
        <v>2.5504177468576477</v>
      </c>
      <c r="S56" s="21">
        <f>IF(S51&gt;0,$K$10*(1+Assumptions!$B$71)^(Model!S3-1),0)</f>
        <v>2.6141781905290893</v>
      </c>
      <c r="T56" s="21">
        <f>IF(T51&gt;0,$K$10*(1+Assumptions!$B$71)^(Model!T3-1),0)</f>
        <v>2.6795326452923165</v>
      </c>
      <c r="U56" s="21">
        <f>IF(U51&gt;0,$K$10*(1+Assumptions!$B$71)^(Model!U3-1),0)</f>
        <v>2.7465209614246238</v>
      </c>
      <c r="V56" s="21">
        <f>IF(V51&gt;0,$K$10*(1+Assumptions!$B$71)^(Model!V3-1),0)</f>
        <v>2.8151839854602394</v>
      </c>
      <c r="W56" s="21">
        <f>IF(W51&gt;0,$K$10*(1+Assumptions!$B$71)^(Model!W3-1),0)</f>
        <v>2.8855635850967456</v>
      </c>
      <c r="X56" s="21">
        <f>IF(X51&gt;0,$K$10*(1+Assumptions!$B$71)^(Model!X3-1),0)</f>
        <v>2.9577026747241639</v>
      </c>
      <c r="Y56" s="21">
        <f>IF(Y51&gt;0,$K$10*(1+Assumptions!$B$71)^(Model!Y3-1),0)</f>
        <v>3.0316452415922677</v>
      </c>
      <c r="Z56" s="21">
        <f>IF(Z51&gt;0,$K$10*(1+Assumptions!$B$71)^(Model!Z3-1),0)</f>
        <v>3.1074363726320744</v>
      </c>
      <c r="AA56" s="21">
        <f>IF(AA51&gt;0,$K$10*(1+Assumptions!$B$71)^(Model!AA3-1),0)</f>
        <v>3.1851222819478764</v>
      </c>
      <c r="AB56" s="21">
        <f>IF(AB51&gt;0,$K$10*(1+Assumptions!$B$71)^(Model!AB3-1),0)</f>
        <v>3.2647503389965729</v>
      </c>
      <c r="AC56" s="21">
        <f>IF(AC51&gt;0,$K$10*(1+Assumptions!$B$71)^(Model!AC3-1),0)</f>
        <v>3.3463690974714866</v>
      </c>
      <c r="AD56" s="21">
        <f>IF(AD51&gt;0,$K$10*(1+Assumptions!$B$71)^(Model!AD3-1),0)</f>
        <v>3.4300283249082737</v>
      </c>
      <c r="AE56" s="21">
        <f>IF(AE51&gt;0,$K$10*(1+Assumptions!$B$71)^(Model!AE3-1),0)</f>
        <v>3.5157790330309804</v>
      </c>
      <c r="AF56" s="21">
        <f>IF(AF51&gt;0,$K$10*(1+Assumptions!$B$71)^(Model!AF3-1),0)</f>
        <v>3.6036735088567546</v>
      </c>
      <c r="AG56" s="21">
        <f>IF(AG51&gt;0,$K$10*(1+Assumptions!$B$71)^(Model!AG3-1),0)</f>
        <v>3.6937653465781737</v>
      </c>
    </row>
    <row r="58" spans="1:33" ht="15" customHeight="1" x14ac:dyDescent="0.3">
      <c r="A58" s="9" t="s">
        <v>347</v>
      </c>
      <c r="D58" s="9">
        <f>IF(Model!D3&gt;=$C$11,Model!D3-$C$11+1,0)</f>
        <v>0</v>
      </c>
      <c r="E58" s="9">
        <f>IF(Model!E3&gt;=$C$11,Model!E3-$C$11+1,0)</f>
        <v>0</v>
      </c>
      <c r="F58" s="9">
        <f>IF(Model!F3&gt;=$C$11,Model!F3-$C$11+1,0)</f>
        <v>0</v>
      </c>
      <c r="G58" s="9">
        <f>IF(Model!G3&gt;=$C$11,Model!G3-$C$11+1,0)</f>
        <v>1</v>
      </c>
      <c r="H58" s="9">
        <f>IF(Model!H3&gt;=$C$11,Model!H3-$C$11+1,0)</f>
        <v>2</v>
      </c>
      <c r="I58" s="9">
        <f>IF(Model!I3&gt;=$C$11,Model!I3-$C$11+1,0)</f>
        <v>3</v>
      </c>
      <c r="J58" s="9">
        <f>IF(Model!J3&gt;=$C$11,Model!J3-$C$11+1,0)</f>
        <v>4</v>
      </c>
      <c r="K58" s="9">
        <f>IF(Model!K3&gt;=$C$11,Model!K3-$C$11+1,0)</f>
        <v>5</v>
      </c>
      <c r="L58" s="9">
        <f>IF(Model!L3&gt;=$C$11,Model!L3-$C$11+1,0)</f>
        <v>6</v>
      </c>
      <c r="M58" s="9">
        <f>IF(Model!M3&gt;=$C$11,Model!M3-$C$11+1,0)</f>
        <v>7</v>
      </c>
      <c r="N58" s="9">
        <f>IF(Model!N3&gt;=$C$11,Model!N3-$C$11+1,0)</f>
        <v>8</v>
      </c>
      <c r="O58" s="9">
        <f>IF(Model!O3&gt;=$C$11,Model!O3-$C$11+1,0)</f>
        <v>9</v>
      </c>
      <c r="P58" s="9">
        <f>IF(Model!P3&gt;=$C$11,Model!P3-$C$11+1,0)</f>
        <v>10</v>
      </c>
      <c r="Q58" s="9">
        <f>IF(Model!Q3&gt;=$C$11,Model!Q3-$C$11+1,0)</f>
        <v>11</v>
      </c>
      <c r="R58" s="9">
        <f>IF(Model!R3&gt;=$C$11,Model!R3-$C$11+1,0)</f>
        <v>12</v>
      </c>
      <c r="S58" s="9">
        <f>IF(Model!S3&gt;=$C$11,Model!S3-$C$11+1,0)</f>
        <v>13</v>
      </c>
      <c r="T58" s="9">
        <f>IF(Model!T3&gt;=$C$11,Model!T3-$C$11+1,0)</f>
        <v>14</v>
      </c>
      <c r="U58" s="9">
        <f>IF(Model!U3&gt;=$C$11,Model!U3-$C$11+1,0)</f>
        <v>15</v>
      </c>
      <c r="V58" s="9">
        <f>IF(Model!V3&gt;=$C$11,Model!V3-$C$11+1,0)</f>
        <v>16</v>
      </c>
      <c r="W58" s="9">
        <f>IF(Model!W3&gt;=$C$11,Model!W3-$C$11+1,0)</f>
        <v>17</v>
      </c>
      <c r="X58" s="9">
        <f>IF(Model!X3&gt;=$C$11,Model!X3-$C$11+1,0)</f>
        <v>18</v>
      </c>
      <c r="Y58" s="9">
        <f>IF(Model!Y3&gt;=$C$11,Model!Y3-$C$11+1,0)</f>
        <v>19</v>
      </c>
      <c r="Z58" s="9">
        <f>IF(Model!Z3&gt;=$C$11,Model!Z3-$C$11+1,0)</f>
        <v>20</v>
      </c>
      <c r="AA58" s="9">
        <f>IF(Model!AA3&gt;=$C$11,Model!AA3-$C$11+1,0)</f>
        <v>21</v>
      </c>
      <c r="AB58" s="9">
        <f>IF(Model!AB3&gt;=$C$11,Model!AB3-$C$11+1,0)</f>
        <v>22</v>
      </c>
      <c r="AC58" s="9">
        <f>IF(Model!AC3&gt;=$C$11,Model!AC3-$C$11+1,0)</f>
        <v>23</v>
      </c>
      <c r="AD58" s="9">
        <f>IF(Model!AD3&gt;=$C$11,Model!AD3-$C$11+1,0)</f>
        <v>24</v>
      </c>
      <c r="AE58" s="9">
        <f>IF(Model!AE3&gt;=$C$11,Model!AE3-$C$11+1,0)</f>
        <v>25</v>
      </c>
      <c r="AF58" s="9">
        <f>IF(Model!AF3&gt;=$C$11,Model!AF3-$C$11+1,0)</f>
        <v>26</v>
      </c>
      <c r="AG58" s="9">
        <f>IF(Model!AG3&gt;=$C$11,Model!AG3-$C$11+1,0)</f>
        <v>27</v>
      </c>
    </row>
    <row r="59" spans="1:33" ht="15" customHeight="1" x14ac:dyDescent="0.3">
      <c r="A59" s="9" t="s">
        <v>348</v>
      </c>
      <c r="D59" s="21">
        <f>IF(Model!D3&lt;=4,$B$11*INDEX(Assumptions!$B$24:$E$24,Model!D3),0)*(1+Assumptions!$B$76)</f>
        <v>0.77</v>
      </c>
      <c r="E59" s="21">
        <f>IF(Model!E3&lt;=4,$B$11*INDEX(Assumptions!$B$24:$E$24,Model!E3),0)*(1+Assumptions!$B$76)</f>
        <v>2.31</v>
      </c>
      <c r="F59" s="21">
        <f>IF(Model!F3&lt;=4,$B$11*INDEX(Assumptions!$B$24:$E$24,Model!F3),0)*(1+Assumptions!$B$76)</f>
        <v>3.08</v>
      </c>
      <c r="G59" s="21">
        <f>IF(Model!G3&lt;=4,$B$11*INDEX(Assumptions!$B$24:$E$24,Model!G3),0)*(1+Assumptions!$B$76)</f>
        <v>1.54</v>
      </c>
      <c r="H59" s="21">
        <f>IF(Model!H3&lt;=4,$B$11*INDEX(Assumptions!$B$24:$E$24,Model!H3),0)*(1+Assumptions!$B$76)</f>
        <v>0</v>
      </c>
      <c r="I59" s="21">
        <f>IF(Model!I3&lt;=4,$B$11*INDEX(Assumptions!$B$24:$E$24,Model!I3),0)*(1+Assumptions!$B$76)</f>
        <v>0</v>
      </c>
      <c r="J59" s="21">
        <f>IF(Model!J3&lt;=4,$B$11*INDEX(Assumptions!$B$24:$E$24,Model!J3),0)*(1+Assumptions!$B$76)</f>
        <v>0</v>
      </c>
      <c r="K59" s="21">
        <f>IF(Model!K3&lt;=4,$B$11*INDEX(Assumptions!$B$24:$E$24,Model!K3),0)*(1+Assumptions!$B$76)</f>
        <v>0</v>
      </c>
      <c r="L59" s="21">
        <f>IF(Model!L3&lt;=4,$B$11*INDEX(Assumptions!$B$24:$E$24,Model!L3),0)*(1+Assumptions!$B$76)</f>
        <v>0</v>
      </c>
      <c r="M59" s="21">
        <f>IF(Model!M3&lt;=4,$B$11*INDEX(Assumptions!$B$24:$E$24,Model!M3),0)*(1+Assumptions!$B$76)</f>
        <v>0</v>
      </c>
      <c r="N59" s="21">
        <f>IF(Model!N3&lt;=4,$B$11*INDEX(Assumptions!$B$24:$E$24,Model!N3),0)*(1+Assumptions!$B$76)</f>
        <v>0</v>
      </c>
      <c r="O59" s="21">
        <f>IF(Model!O3&lt;=4,$B$11*INDEX(Assumptions!$B$24:$E$24,Model!O3),0)*(1+Assumptions!$B$76)</f>
        <v>0</v>
      </c>
      <c r="P59" s="21">
        <f>IF(Model!P3&lt;=4,$B$11*INDEX(Assumptions!$B$24:$E$24,Model!P3),0)*(1+Assumptions!$B$76)</f>
        <v>0</v>
      </c>
      <c r="Q59" s="21">
        <f>IF(Model!Q3&lt;=4,$B$11*INDEX(Assumptions!$B$24:$E$24,Model!Q3),0)*(1+Assumptions!$B$76)</f>
        <v>0</v>
      </c>
      <c r="R59" s="21">
        <f>IF(Model!R3&lt;=4,$B$11*INDEX(Assumptions!$B$24:$E$24,Model!R3),0)*(1+Assumptions!$B$76)</f>
        <v>0</v>
      </c>
      <c r="S59" s="21">
        <f>IF(Model!S3&lt;=4,$B$11*INDEX(Assumptions!$B$24:$E$24,Model!S3),0)*(1+Assumptions!$B$76)</f>
        <v>0</v>
      </c>
      <c r="T59" s="21">
        <f>IF(Model!T3&lt;=4,$B$11*INDEX(Assumptions!$B$24:$E$24,Model!T3),0)*(1+Assumptions!$B$76)</f>
        <v>0</v>
      </c>
      <c r="U59" s="21">
        <f>IF(Model!U3&lt;=4,$B$11*INDEX(Assumptions!$B$24:$E$24,Model!U3),0)*(1+Assumptions!$B$76)</f>
        <v>0</v>
      </c>
      <c r="V59" s="21">
        <f>IF(Model!V3&lt;=4,$B$11*INDEX(Assumptions!$B$24:$E$24,Model!V3),0)*(1+Assumptions!$B$76)</f>
        <v>0</v>
      </c>
      <c r="W59" s="21">
        <f>IF(Model!W3&lt;=4,$B$11*INDEX(Assumptions!$B$24:$E$24,Model!W3),0)*(1+Assumptions!$B$76)</f>
        <v>0</v>
      </c>
      <c r="X59" s="21">
        <f>IF(Model!X3&lt;=4,$B$11*INDEX(Assumptions!$B$24:$E$24,Model!X3),0)*(1+Assumptions!$B$76)</f>
        <v>0</v>
      </c>
      <c r="Y59" s="21">
        <f>IF(Model!Y3&lt;=4,$B$11*INDEX(Assumptions!$B$24:$E$24,Model!Y3),0)*(1+Assumptions!$B$76)</f>
        <v>0</v>
      </c>
      <c r="Z59" s="21">
        <f>IF(Model!Z3&lt;=4,$B$11*INDEX(Assumptions!$B$24:$E$24,Model!Z3),0)*(1+Assumptions!$B$76)</f>
        <v>0</v>
      </c>
      <c r="AA59" s="21">
        <f>IF(Model!AA3&lt;=4,$B$11*INDEX(Assumptions!$B$24:$E$24,Model!AA3),0)*(1+Assumptions!$B$76)</f>
        <v>0</v>
      </c>
      <c r="AB59" s="21">
        <f>IF(Model!AB3&lt;=4,$B$11*INDEX(Assumptions!$B$24:$E$24,Model!AB3),0)*(1+Assumptions!$B$76)</f>
        <v>0</v>
      </c>
      <c r="AC59" s="21">
        <f>IF(Model!AC3&lt;=4,$B$11*INDEX(Assumptions!$B$24:$E$24,Model!AC3),0)*(1+Assumptions!$B$76)</f>
        <v>0</v>
      </c>
      <c r="AD59" s="21">
        <f>IF(Model!AD3&lt;=4,$B$11*INDEX(Assumptions!$B$24:$E$24,Model!AD3),0)*(1+Assumptions!$B$76)</f>
        <v>0</v>
      </c>
      <c r="AE59" s="21">
        <f>IF(Model!AE3&lt;=4,$B$11*INDEX(Assumptions!$B$24:$E$24,Model!AE3),0)*(1+Assumptions!$B$76)</f>
        <v>0</v>
      </c>
      <c r="AF59" s="21">
        <f>IF(Model!AF3&lt;=4,$B$11*INDEX(Assumptions!$B$24:$E$24,Model!AF3),0)*(1+Assumptions!$B$76)</f>
        <v>0</v>
      </c>
      <c r="AG59" s="21">
        <f>IF(Model!AG3&lt;=4,$B$11*INDEX(Assumptions!$B$24:$E$24,Model!AG3),0)*(1+Assumptions!$B$76)</f>
        <v>0</v>
      </c>
    </row>
    <row r="60" spans="1:33" ht="15" customHeight="1" x14ac:dyDescent="0.3">
      <c r="A60" s="9" t="s">
        <v>349</v>
      </c>
      <c r="D60" s="21">
        <f>$D$11*$E$11*(1+Assumptions!$B$75)*IF(D58&lt;=0,0,INDEX(Assumptions!$B$57:$F$57,MIN(D58,5)))*8760*$F$11*(1+Assumptions!$B$71)^(Model!D3-1)*Assumptions!$B$80/1000000</f>
        <v>0</v>
      </c>
      <c r="E60" s="21">
        <f>$D$11*$E$11*(1+Assumptions!$B$75)*IF(E58&lt;=0,0,INDEX(Assumptions!$B$57:$F$57,MIN(E58,5)))*8760*$F$11*(1+Assumptions!$B$71)^(Model!E3-1)*Assumptions!$B$80/1000000</f>
        <v>0</v>
      </c>
      <c r="F60" s="21">
        <f>$D$11*$E$11*(1+Assumptions!$B$75)*IF(F58&lt;=0,0,INDEX(Assumptions!$B$57:$F$57,MIN(F58,5)))*8760*$F$11*(1+Assumptions!$B$71)^(Model!F3-1)*Assumptions!$B$80/1000000</f>
        <v>0</v>
      </c>
      <c r="G60" s="21">
        <f>$D$11*$E$11*(1+Assumptions!$B$75)*IF(G58&lt;=0,0,INDEX(Assumptions!$B$57:$F$57,MIN(G58,5)))*8760*$F$11*(1+Assumptions!$B$71)^(Model!G3-1)*Assumptions!$B$80/1000000</f>
        <v>0.63853138934549991</v>
      </c>
      <c r="H60" s="21">
        <f>$D$11*$E$11*(1+Assumptions!$B$75)*IF(H58&lt;=0,0,INDEX(Assumptions!$B$57:$F$57,MIN(H58,5)))*8760*$F$11*(1+Assumptions!$B$71)^(Model!H3-1)*Assumptions!$B$80/1000000</f>
        <v>0.76357711975899367</v>
      </c>
      <c r="I60" s="21">
        <f>$D$11*$E$11*(1+Assumptions!$B$75)*IF(I58&lt;=0,0,INDEX(Assumptions!$B$57:$F$57,MIN(I58,5)))*8760*$F$11*(1+Assumptions!$B$71)^(Model!I3-1)*Assumptions!$B$80/1000000</f>
        <v>0.95038080798574731</v>
      </c>
      <c r="J60" s="21">
        <f>$D$11*$E$11*(1+Assumptions!$B$75)*IF(J58&lt;=0,0,INDEX(Assumptions!$B$57:$F$57,MIN(J58,5)))*8760*$F$11*(1+Assumptions!$B$71)^(Model!J3-1)*Assumptions!$B$80/1000000</f>
        <v>1.0887450726777899</v>
      </c>
      <c r="K60" s="21">
        <f>$D$11*$E$11*(1+Assumptions!$B$75)*IF(K58&lt;=0,0,INDEX(Assumptions!$B$57:$F$57,MIN(K58,5)))*8760*$F$11*(1+Assumptions!$B$71)^(Model!K3-1)*Assumptions!$B$80/1000000</f>
        <v>1.1746986310470888</v>
      </c>
      <c r="L60" s="21">
        <f>$D$11*$E$11*(1+Assumptions!$B$75)*IF(L58&lt;=0,0,INDEX(Assumptions!$B$57:$F$57,MIN(L58,5)))*8760*$F$11*(1+Assumptions!$B$71)^(Model!L3-1)*Assumptions!$B$80/1000000</f>
        <v>1.2040660968232659</v>
      </c>
      <c r="M60" s="21">
        <f>$D$11*$E$11*(1+Assumptions!$B$75)*IF(M58&lt;=0,0,INDEX(Assumptions!$B$57:$F$57,MIN(M58,5)))*8760*$F$11*(1+Assumptions!$B$71)^(Model!M3-1)*Assumptions!$B$80/1000000</f>
        <v>1.2341677492438476</v>
      </c>
      <c r="N60" s="21">
        <f>$D$11*$E$11*(1+Assumptions!$B$75)*IF(N58&lt;=0,0,INDEX(Assumptions!$B$57:$F$57,MIN(N58,5)))*8760*$F$11*(1+Assumptions!$B$71)^(Model!N3-1)*Assumptions!$B$80/1000000</f>
        <v>1.2650219429749436</v>
      </c>
      <c r="O60" s="21">
        <f>$D$11*$E$11*(1+Assumptions!$B$75)*IF(O58&lt;=0,0,INDEX(Assumptions!$B$57:$F$57,MIN(O58,5)))*8760*$F$11*(1+Assumptions!$B$71)^(Model!O3-1)*Assumptions!$B$80/1000000</f>
        <v>1.2966474915493174</v>
      </c>
      <c r="P60" s="21">
        <f>$D$11*$E$11*(1+Assumptions!$B$75)*IF(P58&lt;=0,0,INDEX(Assumptions!$B$57:$F$57,MIN(P58,5)))*8760*$F$11*(1+Assumptions!$B$71)^(Model!P3-1)*Assumptions!$B$80/1000000</f>
        <v>1.3290636788380503</v>
      </c>
      <c r="Q60" s="21">
        <f>$D$11*$E$11*(1+Assumptions!$B$75)*IF(Q58&lt;=0,0,INDEX(Assumptions!$B$57:$F$57,MIN(Q58,5)))*8760*$F$11*(1+Assumptions!$B$71)^(Model!Q3-1)*Assumptions!$B$80/1000000</f>
        <v>1.3622902708090012</v>
      </c>
      <c r="R60" s="21">
        <f>$D$11*$E$11*(1+Assumptions!$B$75)*IF(R58&lt;=0,0,INDEX(Assumptions!$B$57:$F$57,MIN(R58,5)))*8760*$F$11*(1+Assumptions!$B$71)^(Model!R3-1)*Assumptions!$B$80/1000000</f>
        <v>1.3963475275792263</v>
      </c>
      <c r="S60" s="21">
        <f>$D$11*$E$11*(1+Assumptions!$B$75)*IF(S58&lt;=0,0,INDEX(Assumptions!$B$57:$F$57,MIN(S58,5)))*8760*$F$11*(1+Assumptions!$B$71)^(Model!S3-1)*Assumptions!$B$80/1000000</f>
        <v>1.4312562157687072</v>
      </c>
      <c r="T60" s="21">
        <f>$D$11*$E$11*(1+Assumptions!$B$75)*IF(T58&lt;=0,0,INDEX(Assumptions!$B$57:$F$57,MIN(T58,5)))*8760*$F$11*(1+Assumptions!$B$71)^(Model!T3-1)*Assumptions!$B$80/1000000</f>
        <v>1.4670376211629246</v>
      </c>
      <c r="U60" s="21">
        <f>$D$11*$E$11*(1+Assumptions!$B$75)*IF(U58&lt;=0,0,INDEX(Assumptions!$B$57:$F$57,MIN(U58,5)))*8760*$F$11*(1+Assumptions!$B$71)^(Model!U3-1)*Assumptions!$B$80/1000000</f>
        <v>1.5037135616919977</v>
      </c>
      <c r="V60" s="21">
        <f>$D$11*$E$11*(1+Assumptions!$B$75)*IF(V58&lt;=0,0,INDEX(Assumptions!$B$57:$F$57,MIN(V58,5)))*8760*$F$11*(1+Assumptions!$B$71)^(Model!V3-1)*Assumptions!$B$80/1000000</f>
        <v>1.5413064007342976</v>
      </c>
      <c r="W60" s="21">
        <f>$D$11*$E$11*(1+Assumptions!$B$75)*IF(W58&lt;=0,0,INDEX(Assumptions!$B$57:$F$57,MIN(W58,5)))*8760*$F$11*(1+Assumptions!$B$71)^(Model!W3-1)*Assumptions!$B$80/1000000</f>
        <v>1.5798390607526551</v>
      </c>
      <c r="X60" s="21">
        <f>$D$11*$E$11*(1+Assumptions!$B$75)*IF(X58&lt;=0,0,INDEX(Assumptions!$B$57:$F$57,MIN(X58,5)))*8760*$F$11*(1+Assumptions!$B$71)^(Model!X3-1)*Assumptions!$B$80/1000000</f>
        <v>1.6193350372714712</v>
      </c>
      <c r="Y60" s="21">
        <f>$D$11*$E$11*(1+Assumptions!$B$75)*IF(Y58&lt;=0,0,INDEX(Assumptions!$B$57:$F$57,MIN(Y58,5)))*8760*$F$11*(1+Assumptions!$B$71)^(Model!Y3-1)*Assumptions!$B$80/1000000</f>
        <v>1.6598184132032578</v>
      </c>
      <c r="Z60" s="21">
        <f>$D$11*$E$11*(1+Assumptions!$B$75)*IF(Z58&lt;=0,0,INDEX(Assumptions!$B$57:$F$57,MIN(Z58,5)))*8760*$F$11*(1+Assumptions!$B$71)^(Model!Z3-1)*Assumptions!$B$80/1000000</f>
        <v>1.7013138735333393</v>
      </c>
      <c r="AA60" s="21">
        <f>$D$11*$E$11*(1+Assumptions!$B$75)*IF(AA58&lt;=0,0,INDEX(Assumptions!$B$57:$F$57,MIN(AA58,5)))*8760*$F$11*(1+Assumptions!$B$71)^(Model!AA3-1)*Assumptions!$B$80/1000000</f>
        <v>1.7438467203716725</v>
      </c>
      <c r="AB60" s="21">
        <f>$D$11*$E$11*(1+Assumptions!$B$75)*IF(AB58&lt;=0,0,INDEX(Assumptions!$B$57:$F$57,MIN(AB58,5)))*8760*$F$11*(1+Assumptions!$B$71)^(Model!AB3-1)*Assumptions!$B$80/1000000</f>
        <v>1.7874428883809645</v>
      </c>
      <c r="AC60" s="21">
        <f>$D$11*$E$11*(1+Assumptions!$B$75)*IF(AC58&lt;=0,0,INDEX(Assumptions!$B$57:$F$57,MIN(AC58,5)))*8760*$F$11*(1+Assumptions!$B$71)^(Model!AC3-1)*Assumptions!$B$80/1000000</f>
        <v>1.8321289605904882</v>
      </c>
      <c r="AD60" s="21">
        <f>$D$11*$E$11*(1+Assumptions!$B$75)*IF(AD58&lt;=0,0,INDEX(Assumptions!$B$57:$F$57,MIN(AD58,5)))*8760*$F$11*(1+Assumptions!$B$71)^(Model!AD3-1)*Assumptions!$B$80/1000000</f>
        <v>1.8779321846052506</v>
      </c>
      <c r="AE60" s="21">
        <f>$D$11*$E$11*(1+Assumptions!$B$75)*IF(AE58&lt;=0,0,INDEX(Assumptions!$B$57:$F$57,MIN(AE58,5)))*8760*$F$11*(1+Assumptions!$B$71)^(Model!AE3-1)*Assumptions!$B$80/1000000</f>
        <v>1.9248804892203815</v>
      </c>
      <c r="AF60" s="21">
        <f>$D$11*$E$11*(1+Assumptions!$B$75)*IF(AF58&lt;=0,0,INDEX(Assumptions!$B$57:$F$57,MIN(AF58,5)))*8760*$F$11*(1+Assumptions!$B$71)^(Model!AF3-1)*Assumptions!$B$80/1000000</f>
        <v>1.9730025014508912</v>
      </c>
      <c r="AG60" s="21">
        <f>$D$11*$E$11*(1+Assumptions!$B$75)*IF(AG58&lt;=0,0,INDEX(Assumptions!$B$57:$F$57,MIN(AG58,5)))*8760*$F$11*(1+Assumptions!$B$71)^(Model!AG3-1)*Assumptions!$B$80/1000000</f>
        <v>2.0223275639871634</v>
      </c>
    </row>
    <row r="61" spans="1:33" ht="15" customHeight="1" x14ac:dyDescent="0.3">
      <c r="A61" s="9" t="s">
        <v>350</v>
      </c>
      <c r="D61" s="21">
        <f>$G$11*(IF(D58&lt;=0,0,IF(D58&lt;=5,$H$11/5*D58,IF(D58&lt;=10,$H$11+($I$11-$H$11)*(D58-5)/5,$I$11))))*365*(1+Assumptions!$B$75)*$J$11*(1+Assumptions!$B$71)^(Model!D3-1)*Assumptions!$B$80/1000000</f>
        <v>0</v>
      </c>
      <c r="E61" s="21">
        <f>$G$11*(IF(E58&lt;=0,0,IF(E58&lt;=5,$H$11/5*E58,IF(E58&lt;=10,$H$11+($I$11-$H$11)*(E58-5)/5,$I$11))))*365*(1+Assumptions!$B$75)*$J$11*(1+Assumptions!$B$71)^(Model!E3-1)*Assumptions!$B$80/1000000</f>
        <v>0</v>
      </c>
      <c r="F61" s="21">
        <f>$G$11*(IF(F58&lt;=0,0,IF(F58&lt;=5,$H$11/5*F58,IF(F58&lt;=10,$H$11+($I$11-$H$11)*(F58-5)/5,$I$11))))*365*(1+Assumptions!$B$75)*$J$11*(1+Assumptions!$B$71)^(Model!F3-1)*Assumptions!$B$80/1000000</f>
        <v>0</v>
      </c>
      <c r="G61" s="21">
        <f>$G$11*(IF(G58&lt;=0,0,IF(G58&lt;=5,$H$11/5*G58,IF(G58&lt;=10,$H$11+($I$11-$H$11)*(G58-5)/5,$I$11))))*365*(1+Assumptions!$B$75)*$J$11*(1+Assumptions!$B$71)^(Model!G3-1)*Assumptions!$B$80/1000000</f>
        <v>2.8890283242187492E-2</v>
      </c>
      <c r="H61" s="21">
        <f>$G$11*(IF(H58&lt;=0,0,IF(H58&lt;=5,$H$11/5*H58,IF(H58&lt;=10,$H$11+($I$11-$H$11)*(H58-5)/5,$I$11))))*365*(1+Assumptions!$B$75)*$J$11*(1+Assumptions!$B$71)^(Model!H3-1)*Assumptions!$B$80/1000000</f>
        <v>5.9225080646484358E-2</v>
      </c>
      <c r="I61" s="21">
        <f>$G$11*(IF(I58&lt;=0,0,IF(I58&lt;=5,$H$11/5*I58,IF(I58&lt;=10,$H$11+($I$11-$H$11)*(I58-5)/5,$I$11))))*365*(1+Assumptions!$B$75)*$J$11*(1+Assumptions!$B$71)^(Model!I3-1)*Assumptions!$B$80/1000000</f>
        <v>9.1058561493969681E-2</v>
      </c>
      <c r="J61" s="21">
        <f>$G$11*(IF(J58&lt;=0,0,IF(J58&lt;=5,$H$11/5*J58,IF(J58&lt;=10,$H$11+($I$11-$H$11)*(J58-5)/5,$I$11))))*365*(1+Assumptions!$B$75)*$J$11*(1+Assumptions!$B$71)^(Model!J3-1)*Assumptions!$B$80/1000000</f>
        <v>0.12444670070842521</v>
      </c>
      <c r="K61" s="21">
        <f>$G$11*(IF(K58&lt;=0,0,IF(K58&lt;=5,$H$11/5*K58,IF(K58&lt;=10,$H$11+($I$11-$H$11)*(K58-5)/5,$I$11))))*365*(1+Assumptions!$B$75)*$J$11*(1+Assumptions!$B$71)^(Model!K3-1)*Assumptions!$B$80/1000000</f>
        <v>0.15944733528266983</v>
      </c>
      <c r="L61" s="21">
        <f>$G$11*(IF(L58&lt;=0,0,IF(L58&lt;=5,$H$11/5*L58,IF(L58&lt;=10,$H$11+($I$11-$H$11)*(L58-5)/5,$I$11))))*365*(1+Assumptions!$B$75)*$J$11*(1+Assumptions!$B$71)^(Model!L3-1)*Assumptions!$B$80/1000000</f>
        <v>0.18678116418827034</v>
      </c>
      <c r="M61" s="21">
        <f>$G$11*(IF(M58&lt;=0,0,IF(M58&lt;=5,$H$11/5*M58,IF(M58&lt;=10,$H$11+($I$11-$H$11)*(M58-5)/5,$I$11))))*365*(1+Assumptions!$B$75)*$J$11*(1+Assumptions!$B$71)^(Model!M3-1)*Assumptions!$B$80/1000000</f>
        <v>0.21538202995459924</v>
      </c>
      <c r="N61" s="21">
        <f>$G$11*(IF(N58&lt;=0,0,IF(N58&lt;=5,$H$11/5*N58,IF(N58&lt;=10,$H$11+($I$11-$H$11)*(N58-5)/5,$I$11))))*365*(1+Assumptions!$B$75)*$J$11*(1+Assumptions!$B$71)^(Model!N3-1)*Assumptions!$B$80/1000000</f>
        <v>0.24529620078162695</v>
      </c>
      <c r="O61" s="21">
        <f>$G$11*(IF(O58&lt;=0,0,IF(O58&lt;=5,$H$11/5*O58,IF(O58&lt;=10,$H$11+($I$11-$H$11)*(O58-5)/5,$I$11))))*365*(1+Assumptions!$B$75)*$J$11*(1+Assumptions!$B$71)^(Model!O3-1)*Assumptions!$B$80/1000000</f>
        <v>0.27657146638128433</v>
      </c>
      <c r="P61" s="21">
        <f>$G$11*(IF(P58&lt;=0,0,IF(P58&lt;=5,$H$11/5*P58,IF(P58&lt;=10,$H$11+($I$11-$H$11)*(P58-5)/5,$I$11))))*365*(1+Assumptions!$B$75)*$J$11*(1+Assumptions!$B$71)^(Model!P3-1)*Assumptions!$B$80/1000000</f>
        <v>0.30925718513543615</v>
      </c>
      <c r="Q61" s="21">
        <f>$G$11*(IF(Q58&lt;=0,0,IF(Q58&lt;=5,$H$11/5*Q58,IF(Q58&lt;=10,$H$11+($I$11-$H$11)*(Q58-5)/5,$I$11))))*365*(1+Assumptions!$B$75)*$J$11*(1+Assumptions!$B$71)^(Model!Q3-1)*Assumptions!$B$80/1000000</f>
        <v>0.31698861476382201</v>
      </c>
      <c r="R61" s="21">
        <f>$G$11*(IF(R58&lt;=0,0,IF(R58&lt;=5,$H$11/5*R58,IF(R58&lt;=10,$H$11+($I$11-$H$11)*(R58-5)/5,$I$11))))*365*(1+Assumptions!$B$75)*$J$11*(1+Assumptions!$B$71)^(Model!R3-1)*Assumptions!$B$80/1000000</f>
        <v>0.32491333013291751</v>
      </c>
      <c r="S61" s="21">
        <f>$G$11*(IF(S58&lt;=0,0,IF(S58&lt;=5,$H$11/5*S58,IF(S58&lt;=10,$H$11+($I$11-$H$11)*(S58-5)/5,$I$11))))*365*(1+Assumptions!$B$75)*$J$11*(1+Assumptions!$B$71)^(Model!S3-1)*Assumptions!$B$80/1000000</f>
        <v>0.33303616338624048</v>
      </c>
      <c r="T61" s="21">
        <f>$G$11*(IF(T58&lt;=0,0,IF(T58&lt;=5,$H$11/5*T58,IF(T58&lt;=10,$H$11+($I$11-$H$11)*(T58-5)/5,$I$11))))*365*(1+Assumptions!$B$75)*$J$11*(1+Assumptions!$B$71)^(Model!T3-1)*Assumptions!$B$80/1000000</f>
        <v>0.34136206747089648</v>
      </c>
      <c r="U61" s="21">
        <f>$G$11*(IF(U58&lt;=0,0,IF(U58&lt;=5,$H$11/5*U58,IF(U58&lt;=10,$H$11+($I$11-$H$11)*(U58-5)/5,$I$11))))*365*(1+Assumptions!$B$75)*$J$11*(1+Assumptions!$B$71)^(Model!U3-1)*Assumptions!$B$80/1000000</f>
        <v>0.34989611915766883</v>
      </c>
      <c r="V61" s="21">
        <f>$G$11*(IF(V58&lt;=0,0,IF(V58&lt;=5,$H$11/5*V58,IF(V58&lt;=10,$H$11+($I$11-$H$11)*(V58-5)/5,$I$11))))*365*(1+Assumptions!$B$75)*$J$11*(1+Assumptions!$B$71)^(Model!V3-1)*Assumptions!$B$80/1000000</f>
        <v>0.3586435221366106</v>
      </c>
      <c r="W61" s="21">
        <f>$G$11*(IF(W58&lt;=0,0,IF(W58&lt;=5,$H$11/5*W58,IF(W58&lt;=10,$H$11+($I$11-$H$11)*(W58-5)/5,$I$11))))*365*(1+Assumptions!$B$75)*$J$11*(1+Assumptions!$B$71)^(Model!W3-1)*Assumptions!$B$80/1000000</f>
        <v>0.36760961019002586</v>
      </c>
      <c r="X61" s="21">
        <f>$G$11*(IF(X58&lt;=0,0,IF(X58&lt;=5,$H$11/5*X58,IF(X58&lt;=10,$H$11+($I$11-$H$11)*(X58-5)/5,$I$11))))*365*(1+Assumptions!$B$75)*$J$11*(1+Assumptions!$B$71)^(Model!X3-1)*Assumptions!$B$80/1000000</f>
        <v>0.37679985044477643</v>
      </c>
      <c r="Y61" s="21">
        <f>$G$11*(IF(Y58&lt;=0,0,IF(Y58&lt;=5,$H$11/5*Y58,IF(Y58&lt;=10,$H$11+($I$11-$H$11)*(Y58-5)/5,$I$11))))*365*(1+Assumptions!$B$75)*$J$11*(1+Assumptions!$B$71)^(Model!Y3-1)*Assumptions!$B$80/1000000</f>
        <v>0.38621984670589576</v>
      </c>
      <c r="Z61" s="21">
        <f>$G$11*(IF(Z58&lt;=0,0,IF(Z58&lt;=5,$H$11/5*Z58,IF(Z58&lt;=10,$H$11+($I$11-$H$11)*(Z58-5)/5,$I$11))))*365*(1+Assumptions!$B$75)*$J$11*(1+Assumptions!$B$71)^(Model!Z3-1)*Assumptions!$B$80/1000000</f>
        <v>0.3958753428735432</v>
      </c>
      <c r="AA61" s="21">
        <f>$G$11*(IF(AA58&lt;=0,0,IF(AA58&lt;=5,$H$11/5*AA58,IF(AA58&lt;=10,$H$11+($I$11-$H$11)*(AA58-5)/5,$I$11))))*365*(1+Assumptions!$B$75)*$J$11*(1+Assumptions!$B$71)^(Model!AA3-1)*Assumptions!$B$80/1000000</f>
        <v>0.4057722264453818</v>
      </c>
      <c r="AB61" s="21">
        <f>$G$11*(IF(AB58&lt;=0,0,IF(AB58&lt;=5,$H$11/5*AB58,IF(AB58&lt;=10,$H$11+($I$11-$H$11)*(AB58-5)/5,$I$11))))*365*(1+Assumptions!$B$75)*$J$11*(1+Assumptions!$B$71)^(Model!AB3-1)*Assumptions!$B$80/1000000</f>
        <v>0.4159165321065163</v>
      </c>
      <c r="AC61" s="21">
        <f>$G$11*(IF(AC58&lt;=0,0,IF(AC58&lt;=5,$H$11/5*AC58,IF(AC58&lt;=10,$H$11+($I$11-$H$11)*(AC58-5)/5,$I$11))))*365*(1+Assumptions!$B$75)*$J$11*(1+Assumptions!$B$71)^(Model!AC3-1)*Assumptions!$B$80/1000000</f>
        <v>0.42631444540917912</v>
      </c>
      <c r="AD61" s="21">
        <f>$G$11*(IF(AD58&lt;=0,0,IF(AD58&lt;=5,$H$11/5*AD58,IF(AD58&lt;=10,$H$11+($I$11-$H$11)*(AD58-5)/5,$I$11))))*365*(1+Assumptions!$B$75)*$J$11*(1+Assumptions!$B$71)^(Model!AD3-1)*Assumptions!$B$80/1000000</f>
        <v>0.43697230654440861</v>
      </c>
      <c r="AE61" s="21">
        <f>$G$11*(IF(AE58&lt;=0,0,IF(AE58&lt;=5,$H$11/5*AE58,IF(AE58&lt;=10,$H$11+($I$11-$H$11)*(AE58-5)/5,$I$11))))*365*(1+Assumptions!$B$75)*$J$11*(1+Assumptions!$B$71)^(Model!AE3-1)*Assumptions!$B$80/1000000</f>
        <v>0.44789661420801874</v>
      </c>
      <c r="AF61" s="21">
        <f>$G$11*(IF(AF58&lt;=0,0,IF(AF58&lt;=5,$H$11/5*AF58,IF(AF58&lt;=10,$H$11+($I$11-$H$11)*(AF58-5)/5,$I$11))))*365*(1+Assumptions!$B$75)*$J$11*(1+Assumptions!$B$71)^(Model!AF3-1)*Assumptions!$B$80/1000000</f>
        <v>0.45909402956321921</v>
      </c>
      <c r="AG61" s="21">
        <f>$G$11*(IF(AG58&lt;=0,0,IF(AG58&lt;=5,$H$11/5*AG58,IF(AG58&lt;=10,$H$11+($I$11-$H$11)*(AG58-5)/5,$I$11))))*365*(1+Assumptions!$B$75)*$J$11*(1+Assumptions!$B$71)^(Model!AG3-1)*Assumptions!$B$80/1000000</f>
        <v>0.47057138030229978</v>
      </c>
    </row>
    <row r="62" spans="1:33" ht="15" customHeight="1" x14ac:dyDescent="0.3">
      <c r="A62" s="9" t="s">
        <v>351</v>
      </c>
      <c r="D62" s="21">
        <f>$L$11*IF(D58&lt;=0,0,INDEX(Assumptions!$B$57:$F$57,MIN(D58,5)))*(1+Assumptions!$B$71)^(Model!D3-1)</f>
        <v>0</v>
      </c>
      <c r="E62" s="21">
        <f>$L$11*IF(E58&lt;=0,0,INDEX(Assumptions!$B$57:$F$57,MIN(E58,5)))*(1+Assumptions!$B$71)^(Model!E3-1)</f>
        <v>0</v>
      </c>
      <c r="F62" s="21">
        <f>$L$11*IF(F58&lt;=0,0,INDEX(Assumptions!$B$57:$F$57,MIN(F58,5)))*(1+Assumptions!$B$71)^(Model!F3-1)</f>
        <v>0</v>
      </c>
      <c r="G62" s="21">
        <f>$L$11*IF(G58&lt;=0,0,INDEX(Assumptions!$B$57:$F$57,MIN(G58,5)))*(1+Assumptions!$B$71)^(Model!G3-1)</f>
        <v>0.12664233749999998</v>
      </c>
      <c r="H62" s="21">
        <f>$L$11*IF(H58&lt;=0,0,INDEX(Assumptions!$B$57:$F$57,MIN(H58,5)))*(1+Assumptions!$B$71)^(Model!H3-1)</f>
        <v>0.15144312859374995</v>
      </c>
      <c r="I62" s="21">
        <f>$L$11*IF(I58&lt;=0,0,INDEX(Assumptions!$B$57:$F$57,MIN(I58,5)))*(1+Assumptions!$B$71)^(Model!I3-1)</f>
        <v>0.18849260826757808</v>
      </c>
      <c r="J62" s="21">
        <f>$L$11*IF(J58&lt;=0,0,INDEX(Assumptions!$B$57:$F$57,MIN(J58,5)))*(1+Assumptions!$B$71)^(Model!J3-1)</f>
        <v>0.21593491447124016</v>
      </c>
      <c r="K62" s="21">
        <f>$L$11*IF(K58&lt;=0,0,INDEX(Assumptions!$B$57:$F$57,MIN(K58,5)))*(1+Assumptions!$B$71)^(Model!K3-1)</f>
        <v>0.23298240771896966</v>
      </c>
      <c r="L62" s="21">
        <f>$L$11*IF(L58&lt;=0,0,INDEX(Assumptions!$B$57:$F$57,MIN(L58,5)))*(1+Assumptions!$B$71)^(Model!L3-1)</f>
        <v>0.23880696791194389</v>
      </c>
      <c r="M62" s="21">
        <f>$L$11*IF(M58&lt;=0,0,INDEX(Assumptions!$B$57:$F$57,MIN(M58,5)))*(1+Assumptions!$B$71)^(Model!M3-1)</f>
        <v>0.24477714210974244</v>
      </c>
      <c r="N62" s="21">
        <f>$L$11*IF(N58&lt;=0,0,INDEX(Assumptions!$B$57:$F$57,MIN(N58,5)))*(1+Assumptions!$B$71)^(Model!N3-1)</f>
        <v>0.250896570662486</v>
      </c>
      <c r="O62" s="21">
        <f>$L$11*IF(O58&lt;=0,0,INDEX(Assumptions!$B$57:$F$57,MIN(O58,5)))*(1+Assumptions!$B$71)^(Model!O3-1)</f>
        <v>0.25716898492904816</v>
      </c>
      <c r="P62" s="21">
        <f>$L$11*IF(P58&lt;=0,0,INDEX(Assumptions!$B$57:$F$57,MIN(P58,5)))*(1+Assumptions!$B$71)^(Model!P3-1)</f>
        <v>0.26359820955227431</v>
      </c>
      <c r="Q62" s="21">
        <f>$L$11*IF(Q58&lt;=0,0,INDEX(Assumptions!$B$57:$F$57,MIN(Q58,5)))*(1+Assumptions!$B$71)^(Model!Q3-1)</f>
        <v>0.27018816479108115</v>
      </c>
      <c r="R62" s="21">
        <f>$L$11*IF(R58&lt;=0,0,INDEX(Assumptions!$B$57:$F$57,MIN(R58,5)))*(1+Assumptions!$B$71)^(Model!R3-1)</f>
        <v>0.27694286891085818</v>
      </c>
      <c r="S62" s="21">
        <f>$L$11*IF(S58&lt;=0,0,INDEX(Assumptions!$B$57:$F$57,MIN(S58,5)))*(1+Assumptions!$B$71)^(Model!S3-1)</f>
        <v>0.28386644063362965</v>
      </c>
      <c r="T62" s="21">
        <f>$L$11*IF(T58&lt;=0,0,INDEX(Assumptions!$B$57:$F$57,MIN(T58,5)))*(1+Assumptions!$B$71)^(Model!T3-1)</f>
        <v>0.29096310164947037</v>
      </c>
      <c r="U62" s="21">
        <f>$L$11*IF(U58&lt;=0,0,INDEX(Assumptions!$B$57:$F$57,MIN(U58,5)))*(1+Assumptions!$B$71)^(Model!U3-1)</f>
        <v>0.29823717919070708</v>
      </c>
      <c r="V62" s="21">
        <f>$L$11*IF(V58&lt;=0,0,INDEX(Assumptions!$B$57:$F$57,MIN(V58,5)))*(1+Assumptions!$B$71)^(Model!V3-1)</f>
        <v>0.30569310867047478</v>
      </c>
      <c r="W62" s="21">
        <f>$L$11*IF(W58&lt;=0,0,INDEX(Assumptions!$B$57:$F$57,MIN(W58,5)))*(1+Assumptions!$B$71)^(Model!W3-1)</f>
        <v>0.31333543638723665</v>
      </c>
      <c r="X62" s="21">
        <f>$L$11*IF(X58&lt;=0,0,INDEX(Assumptions!$B$57:$F$57,MIN(X58,5)))*(1+Assumptions!$B$71)^(Model!X3-1)</f>
        <v>0.32116882229691757</v>
      </c>
      <c r="Y62" s="21">
        <f>$L$11*IF(Y58&lt;=0,0,INDEX(Assumptions!$B$57:$F$57,MIN(Y58,5)))*(1+Assumptions!$B$71)^(Model!Y3-1)</f>
        <v>0.32919804285434046</v>
      </c>
      <c r="Z62" s="21">
        <f>$L$11*IF(Z58&lt;=0,0,INDEX(Assumptions!$B$57:$F$57,MIN(Z58,5)))*(1+Assumptions!$B$71)^(Model!Z3-1)</f>
        <v>0.33742799392569894</v>
      </c>
      <c r="AA62" s="21">
        <f>$L$11*IF(AA58&lt;=0,0,INDEX(Assumptions!$B$57:$F$57,MIN(AA58,5)))*(1+Assumptions!$B$71)^(Model!AA3-1)</f>
        <v>0.34586369377384141</v>
      </c>
      <c r="AB62" s="21">
        <f>$L$11*IF(AB58&lt;=0,0,INDEX(Assumptions!$B$57:$F$57,MIN(AB58,5)))*(1+Assumptions!$B$71)^(Model!AB3-1)</f>
        <v>0.35451028611818747</v>
      </c>
      <c r="AC62" s="21">
        <f>$L$11*IF(AC58&lt;=0,0,INDEX(Assumptions!$B$57:$F$57,MIN(AC58,5)))*(1+Assumptions!$B$71)^(Model!AC3-1)</f>
        <v>0.36337304327114206</v>
      </c>
      <c r="AD62" s="21">
        <f>$L$11*IF(AD58&lt;=0,0,INDEX(Assumptions!$B$57:$F$57,MIN(AD58,5)))*(1+Assumptions!$B$71)^(Model!AD3-1)</f>
        <v>0.37245736935292062</v>
      </c>
      <c r="AE62" s="21">
        <f>$L$11*IF(AE58&lt;=0,0,INDEX(Assumptions!$B$57:$F$57,MIN(AE58,5)))*(1+Assumptions!$B$71)^(Model!AE3-1)</f>
        <v>0.38176880358674359</v>
      </c>
      <c r="AF62" s="21">
        <f>$L$11*IF(AF58&lt;=0,0,INDEX(Assumptions!$B$57:$F$57,MIN(AF58,5)))*(1+Assumptions!$B$71)^(Model!AF3-1)</f>
        <v>0.39131302367641213</v>
      </c>
      <c r="AG62" s="21">
        <f>$L$11*IF(AG58&lt;=0,0,INDEX(Assumptions!$B$57:$F$57,MIN(AG58,5)))*(1+Assumptions!$B$71)^(Model!AG3-1)</f>
        <v>0.40109584926832248</v>
      </c>
    </row>
    <row r="63" spans="1:33" ht="15" customHeight="1" x14ac:dyDescent="0.3">
      <c r="A63" s="9" t="s">
        <v>352</v>
      </c>
      <c r="D63" s="21">
        <f>IF(D58&gt;0,$K$11*(1+Assumptions!$B$71)^(Model!D3-1),0)</f>
        <v>0</v>
      </c>
      <c r="E63" s="21">
        <f>IF(E58&gt;0,$K$11*(1+Assumptions!$B$71)^(Model!E3-1),0)</f>
        <v>0</v>
      </c>
      <c r="F63" s="21">
        <f>IF(F58&gt;0,$K$11*(1+Assumptions!$B$71)^(Model!F3-1),0)</f>
        <v>0</v>
      </c>
      <c r="G63" s="21">
        <f>IF(G58&gt;0,$K$11*(1+Assumptions!$B$71)^(Model!G3-1),0)</f>
        <v>1.9437875781249998</v>
      </c>
      <c r="H63" s="21">
        <f>IF(H58&gt;0,$K$11*(1+Assumptions!$B$71)^(Model!H3-1),0)</f>
        <v>1.9923822675781244</v>
      </c>
      <c r="I63" s="21">
        <f>IF(I58&gt;0,$K$11*(1+Assumptions!$B$71)^(Model!I3-1),0)</f>
        <v>2.0421918242675776</v>
      </c>
      <c r="J63" s="21">
        <f>IF(J58&gt;0,$K$11*(1+Assumptions!$B$71)^(Model!J3-1),0)</f>
        <v>2.0932466198742667</v>
      </c>
      <c r="K63" s="21">
        <f>IF(K58&gt;0,$K$11*(1+Assumptions!$B$71)^(Model!K3-1),0)</f>
        <v>2.1455777853711235</v>
      </c>
      <c r="L63" s="21">
        <f>IF(L58&gt;0,$K$11*(1+Assumptions!$B$71)^(Model!L3-1),0)</f>
        <v>2.1992172300054014</v>
      </c>
      <c r="M63" s="21">
        <f>IF(M58&gt;0,$K$11*(1+Assumptions!$B$71)^(Model!M3-1),0)</f>
        <v>2.2541976607555361</v>
      </c>
      <c r="N63" s="21">
        <f>IF(N58&gt;0,$K$11*(1+Assumptions!$B$71)^(Model!N3-1),0)</f>
        <v>2.3105526022744245</v>
      </c>
      <c r="O63" s="21">
        <f>IF(O58&gt;0,$K$11*(1+Assumptions!$B$71)^(Model!O3-1),0)</f>
        <v>2.3683164173312852</v>
      </c>
      <c r="P63" s="21">
        <f>IF(P58&gt;0,$K$11*(1+Assumptions!$B$71)^(Model!P3-1),0)</f>
        <v>2.4275243277645671</v>
      </c>
      <c r="Q63" s="21">
        <f>IF(Q58&gt;0,$K$11*(1+Assumptions!$B$71)^(Model!Q3-1),0)</f>
        <v>2.488212435958681</v>
      </c>
      <c r="R63" s="21">
        <f>IF(R58&gt;0,$K$11*(1+Assumptions!$B$71)^(Model!R3-1),0)</f>
        <v>2.5504177468576477</v>
      </c>
      <c r="S63" s="21">
        <f>IF(S58&gt;0,$K$11*(1+Assumptions!$B$71)^(Model!S3-1),0)</f>
        <v>2.6141781905290893</v>
      </c>
      <c r="T63" s="21">
        <f>IF(T58&gt;0,$K$11*(1+Assumptions!$B$71)^(Model!T3-1),0)</f>
        <v>2.6795326452923165</v>
      </c>
      <c r="U63" s="21">
        <f>IF(U58&gt;0,$K$11*(1+Assumptions!$B$71)^(Model!U3-1),0)</f>
        <v>2.7465209614246238</v>
      </c>
      <c r="V63" s="21">
        <f>IF(V58&gt;0,$K$11*(1+Assumptions!$B$71)^(Model!V3-1),0)</f>
        <v>2.8151839854602394</v>
      </c>
      <c r="W63" s="21">
        <f>IF(W58&gt;0,$K$11*(1+Assumptions!$B$71)^(Model!W3-1),0)</f>
        <v>2.8855635850967456</v>
      </c>
      <c r="X63" s="21">
        <f>IF(X58&gt;0,$K$11*(1+Assumptions!$B$71)^(Model!X3-1),0)</f>
        <v>2.9577026747241639</v>
      </c>
      <c r="Y63" s="21">
        <f>IF(Y58&gt;0,$K$11*(1+Assumptions!$B$71)^(Model!Y3-1),0)</f>
        <v>3.0316452415922677</v>
      </c>
      <c r="Z63" s="21">
        <f>IF(Z58&gt;0,$K$11*(1+Assumptions!$B$71)^(Model!Z3-1),0)</f>
        <v>3.1074363726320744</v>
      </c>
      <c r="AA63" s="21">
        <f>IF(AA58&gt;0,$K$11*(1+Assumptions!$B$71)^(Model!AA3-1),0)</f>
        <v>3.1851222819478764</v>
      </c>
      <c r="AB63" s="21">
        <f>IF(AB58&gt;0,$K$11*(1+Assumptions!$B$71)^(Model!AB3-1),0)</f>
        <v>3.2647503389965729</v>
      </c>
      <c r="AC63" s="21">
        <f>IF(AC58&gt;0,$K$11*(1+Assumptions!$B$71)^(Model!AC3-1),0)</f>
        <v>3.3463690974714866</v>
      </c>
      <c r="AD63" s="21">
        <f>IF(AD58&gt;0,$K$11*(1+Assumptions!$B$71)^(Model!AD3-1),0)</f>
        <v>3.4300283249082737</v>
      </c>
      <c r="AE63" s="21">
        <f>IF(AE58&gt;0,$K$11*(1+Assumptions!$B$71)^(Model!AE3-1),0)</f>
        <v>3.5157790330309804</v>
      </c>
      <c r="AF63" s="21">
        <f>IF(AF58&gt;0,$K$11*(1+Assumptions!$B$71)^(Model!AF3-1),0)</f>
        <v>3.6036735088567546</v>
      </c>
      <c r="AG63" s="21">
        <f>IF(AG58&gt;0,$K$11*(1+Assumptions!$B$71)^(Model!AG3-1),0)</f>
        <v>3.6937653465781737</v>
      </c>
    </row>
    <row r="65" spans="1:33" ht="15" customHeight="1" x14ac:dyDescent="0.3">
      <c r="A65" s="9" t="s">
        <v>353</v>
      </c>
      <c r="D65" s="9">
        <f>IF(Model!D3&gt;=$C$12,Model!D3-$C$12+1,0)</f>
        <v>0</v>
      </c>
      <c r="E65" s="9">
        <f>IF(Model!E3&gt;=$C$12,Model!E3-$C$12+1,0)</f>
        <v>0</v>
      </c>
      <c r="F65" s="9">
        <f>IF(Model!F3&gt;=$C$12,Model!F3-$C$12+1,0)</f>
        <v>0</v>
      </c>
      <c r="G65" s="9">
        <f>IF(Model!G3&gt;=$C$12,Model!G3-$C$12+1,0)</f>
        <v>1</v>
      </c>
      <c r="H65" s="9">
        <f>IF(Model!H3&gt;=$C$12,Model!H3-$C$12+1,0)</f>
        <v>2</v>
      </c>
      <c r="I65" s="9">
        <f>IF(Model!I3&gt;=$C$12,Model!I3-$C$12+1,0)</f>
        <v>3</v>
      </c>
      <c r="J65" s="9">
        <f>IF(Model!J3&gt;=$C$12,Model!J3-$C$12+1,0)</f>
        <v>4</v>
      </c>
      <c r="K65" s="9">
        <f>IF(Model!K3&gt;=$C$12,Model!K3-$C$12+1,0)</f>
        <v>5</v>
      </c>
      <c r="L65" s="9">
        <f>IF(Model!L3&gt;=$C$12,Model!L3-$C$12+1,0)</f>
        <v>6</v>
      </c>
      <c r="M65" s="9">
        <f>IF(Model!M3&gt;=$C$12,Model!M3-$C$12+1,0)</f>
        <v>7</v>
      </c>
      <c r="N65" s="9">
        <f>IF(Model!N3&gt;=$C$12,Model!N3-$C$12+1,0)</f>
        <v>8</v>
      </c>
      <c r="O65" s="9">
        <f>IF(Model!O3&gt;=$C$12,Model!O3-$C$12+1,0)</f>
        <v>9</v>
      </c>
      <c r="P65" s="9">
        <f>IF(Model!P3&gt;=$C$12,Model!P3-$C$12+1,0)</f>
        <v>10</v>
      </c>
      <c r="Q65" s="9">
        <f>IF(Model!Q3&gt;=$C$12,Model!Q3-$C$12+1,0)</f>
        <v>11</v>
      </c>
      <c r="R65" s="9">
        <f>IF(Model!R3&gt;=$C$12,Model!R3-$C$12+1,0)</f>
        <v>12</v>
      </c>
      <c r="S65" s="9">
        <f>IF(Model!S3&gt;=$C$12,Model!S3-$C$12+1,0)</f>
        <v>13</v>
      </c>
      <c r="T65" s="9">
        <f>IF(Model!T3&gt;=$C$12,Model!T3-$C$12+1,0)</f>
        <v>14</v>
      </c>
      <c r="U65" s="9">
        <f>IF(Model!U3&gt;=$C$12,Model!U3-$C$12+1,0)</f>
        <v>15</v>
      </c>
      <c r="V65" s="9">
        <f>IF(Model!V3&gt;=$C$12,Model!V3-$C$12+1,0)</f>
        <v>16</v>
      </c>
      <c r="W65" s="9">
        <f>IF(Model!W3&gt;=$C$12,Model!W3-$C$12+1,0)</f>
        <v>17</v>
      </c>
      <c r="X65" s="9">
        <f>IF(Model!X3&gt;=$C$12,Model!X3-$C$12+1,0)</f>
        <v>18</v>
      </c>
      <c r="Y65" s="9">
        <f>IF(Model!Y3&gt;=$C$12,Model!Y3-$C$12+1,0)</f>
        <v>19</v>
      </c>
      <c r="Z65" s="9">
        <f>IF(Model!Z3&gt;=$C$12,Model!Z3-$C$12+1,0)</f>
        <v>20</v>
      </c>
      <c r="AA65" s="9">
        <f>IF(Model!AA3&gt;=$C$12,Model!AA3-$C$12+1,0)</f>
        <v>21</v>
      </c>
      <c r="AB65" s="9">
        <f>IF(Model!AB3&gt;=$C$12,Model!AB3-$C$12+1,0)</f>
        <v>22</v>
      </c>
      <c r="AC65" s="9">
        <f>IF(Model!AC3&gt;=$C$12,Model!AC3-$C$12+1,0)</f>
        <v>23</v>
      </c>
      <c r="AD65" s="9">
        <f>IF(Model!AD3&gt;=$C$12,Model!AD3-$C$12+1,0)</f>
        <v>24</v>
      </c>
      <c r="AE65" s="9">
        <f>IF(Model!AE3&gt;=$C$12,Model!AE3-$C$12+1,0)</f>
        <v>25</v>
      </c>
      <c r="AF65" s="9">
        <f>IF(Model!AF3&gt;=$C$12,Model!AF3-$C$12+1,0)</f>
        <v>26</v>
      </c>
      <c r="AG65" s="9">
        <f>IF(Model!AG3&gt;=$C$12,Model!AG3-$C$12+1,0)</f>
        <v>27</v>
      </c>
    </row>
    <row r="66" spans="1:33" ht="15" customHeight="1" x14ac:dyDescent="0.3">
      <c r="A66" s="9" t="s">
        <v>354</v>
      </c>
      <c r="D66" s="21">
        <f>IF(Model!D3&lt;=4,$B$12*INDEX(Assumptions!$B$24:$E$24,Model!D3),0)*(1+Assumptions!$B$76)</f>
        <v>0.78</v>
      </c>
      <c r="E66" s="21">
        <f>IF(Model!E3&lt;=4,$B$12*INDEX(Assumptions!$B$24:$E$24,Model!E3),0)*(1+Assumptions!$B$76)</f>
        <v>2.34</v>
      </c>
      <c r="F66" s="21">
        <f>IF(Model!F3&lt;=4,$B$12*INDEX(Assumptions!$B$24:$E$24,Model!F3),0)*(1+Assumptions!$B$76)</f>
        <v>3.12</v>
      </c>
      <c r="G66" s="21">
        <f>IF(Model!G3&lt;=4,$B$12*INDEX(Assumptions!$B$24:$E$24,Model!G3),0)*(1+Assumptions!$B$76)</f>
        <v>1.56</v>
      </c>
      <c r="H66" s="21">
        <f>IF(Model!H3&lt;=4,$B$12*INDEX(Assumptions!$B$24:$E$24,Model!H3),0)*(1+Assumptions!$B$76)</f>
        <v>0</v>
      </c>
      <c r="I66" s="21">
        <f>IF(Model!I3&lt;=4,$B$12*INDEX(Assumptions!$B$24:$E$24,Model!I3),0)*(1+Assumptions!$B$76)</f>
        <v>0</v>
      </c>
      <c r="J66" s="21">
        <f>IF(Model!J3&lt;=4,$B$12*INDEX(Assumptions!$B$24:$E$24,Model!J3),0)*(1+Assumptions!$B$76)</f>
        <v>0</v>
      </c>
      <c r="K66" s="21">
        <f>IF(Model!K3&lt;=4,$B$12*INDEX(Assumptions!$B$24:$E$24,Model!K3),0)*(1+Assumptions!$B$76)</f>
        <v>0</v>
      </c>
      <c r="L66" s="21">
        <f>IF(Model!L3&lt;=4,$B$12*INDEX(Assumptions!$B$24:$E$24,Model!L3),0)*(1+Assumptions!$B$76)</f>
        <v>0</v>
      </c>
      <c r="M66" s="21">
        <f>IF(Model!M3&lt;=4,$B$12*INDEX(Assumptions!$B$24:$E$24,Model!M3),0)*(1+Assumptions!$B$76)</f>
        <v>0</v>
      </c>
      <c r="N66" s="21">
        <f>IF(Model!N3&lt;=4,$B$12*INDEX(Assumptions!$B$24:$E$24,Model!N3),0)*(1+Assumptions!$B$76)</f>
        <v>0</v>
      </c>
      <c r="O66" s="21">
        <f>IF(Model!O3&lt;=4,$B$12*INDEX(Assumptions!$B$24:$E$24,Model!O3),0)*(1+Assumptions!$B$76)</f>
        <v>0</v>
      </c>
      <c r="P66" s="21">
        <f>IF(Model!P3&lt;=4,$B$12*INDEX(Assumptions!$B$24:$E$24,Model!P3),0)*(1+Assumptions!$B$76)</f>
        <v>0</v>
      </c>
      <c r="Q66" s="21">
        <f>IF(Model!Q3&lt;=4,$B$12*INDEX(Assumptions!$B$24:$E$24,Model!Q3),0)*(1+Assumptions!$B$76)</f>
        <v>0</v>
      </c>
      <c r="R66" s="21">
        <f>IF(Model!R3&lt;=4,$B$12*INDEX(Assumptions!$B$24:$E$24,Model!R3),0)*(1+Assumptions!$B$76)</f>
        <v>0</v>
      </c>
      <c r="S66" s="21">
        <f>IF(Model!S3&lt;=4,$B$12*INDEX(Assumptions!$B$24:$E$24,Model!S3),0)*(1+Assumptions!$B$76)</f>
        <v>0</v>
      </c>
      <c r="T66" s="21">
        <f>IF(Model!T3&lt;=4,$B$12*INDEX(Assumptions!$B$24:$E$24,Model!T3),0)*(1+Assumptions!$B$76)</f>
        <v>0</v>
      </c>
      <c r="U66" s="21">
        <f>IF(Model!U3&lt;=4,$B$12*INDEX(Assumptions!$B$24:$E$24,Model!U3),0)*(1+Assumptions!$B$76)</f>
        <v>0</v>
      </c>
      <c r="V66" s="21">
        <f>IF(Model!V3&lt;=4,$B$12*INDEX(Assumptions!$B$24:$E$24,Model!V3),0)*(1+Assumptions!$B$76)</f>
        <v>0</v>
      </c>
      <c r="W66" s="21">
        <f>IF(Model!W3&lt;=4,$B$12*INDEX(Assumptions!$B$24:$E$24,Model!W3),0)*(1+Assumptions!$B$76)</f>
        <v>0</v>
      </c>
      <c r="X66" s="21">
        <f>IF(Model!X3&lt;=4,$B$12*INDEX(Assumptions!$B$24:$E$24,Model!X3),0)*(1+Assumptions!$B$76)</f>
        <v>0</v>
      </c>
      <c r="Y66" s="21">
        <f>IF(Model!Y3&lt;=4,$B$12*INDEX(Assumptions!$B$24:$E$24,Model!Y3),0)*(1+Assumptions!$B$76)</f>
        <v>0</v>
      </c>
      <c r="Z66" s="21">
        <f>IF(Model!Z3&lt;=4,$B$12*INDEX(Assumptions!$B$24:$E$24,Model!Z3),0)*(1+Assumptions!$B$76)</f>
        <v>0</v>
      </c>
      <c r="AA66" s="21">
        <f>IF(Model!AA3&lt;=4,$B$12*INDEX(Assumptions!$B$24:$E$24,Model!AA3),0)*(1+Assumptions!$B$76)</f>
        <v>0</v>
      </c>
      <c r="AB66" s="21">
        <f>IF(Model!AB3&lt;=4,$B$12*INDEX(Assumptions!$B$24:$E$24,Model!AB3),0)*(1+Assumptions!$B$76)</f>
        <v>0</v>
      </c>
      <c r="AC66" s="21">
        <f>IF(Model!AC3&lt;=4,$B$12*INDEX(Assumptions!$B$24:$E$24,Model!AC3),0)*(1+Assumptions!$B$76)</f>
        <v>0</v>
      </c>
      <c r="AD66" s="21">
        <f>IF(Model!AD3&lt;=4,$B$12*INDEX(Assumptions!$B$24:$E$24,Model!AD3),0)*(1+Assumptions!$B$76)</f>
        <v>0</v>
      </c>
      <c r="AE66" s="21">
        <f>IF(Model!AE3&lt;=4,$B$12*INDEX(Assumptions!$B$24:$E$24,Model!AE3),0)*(1+Assumptions!$B$76)</f>
        <v>0</v>
      </c>
      <c r="AF66" s="21">
        <f>IF(Model!AF3&lt;=4,$B$12*INDEX(Assumptions!$B$24:$E$24,Model!AF3),0)*(1+Assumptions!$B$76)</f>
        <v>0</v>
      </c>
      <c r="AG66" s="21">
        <f>IF(Model!AG3&lt;=4,$B$12*INDEX(Assumptions!$B$24:$E$24,Model!AG3),0)*(1+Assumptions!$B$76)</f>
        <v>0</v>
      </c>
    </row>
    <row r="67" spans="1:33" ht="15" customHeight="1" x14ac:dyDescent="0.3">
      <c r="A67" s="9" t="s">
        <v>355</v>
      </c>
      <c r="D67" s="21">
        <f>$D$12*$E$12*(1+Assumptions!$B$75)*IF(D65&lt;=0,0,INDEX(Assumptions!$B$57:$F$57,MIN(D65,5)))*8760*$F$12*(1+Assumptions!$B$71)^(Model!D3-1)*Assumptions!$B$80/1000000</f>
        <v>0</v>
      </c>
      <c r="E67" s="21">
        <f>$D$12*$E$12*(1+Assumptions!$B$75)*IF(E65&lt;=0,0,INDEX(Assumptions!$B$57:$F$57,MIN(E65,5)))*8760*$F$12*(1+Assumptions!$B$71)^(Model!E3-1)*Assumptions!$B$80/1000000</f>
        <v>0</v>
      </c>
      <c r="F67" s="21">
        <f>$D$12*$E$12*(1+Assumptions!$B$75)*IF(F65&lt;=0,0,INDEX(Assumptions!$B$57:$F$57,MIN(F65,5)))*8760*$F$12*(1+Assumptions!$B$71)^(Model!F3-1)*Assumptions!$B$80/1000000</f>
        <v>0</v>
      </c>
      <c r="G67" s="21">
        <f>$D$12*$E$12*(1+Assumptions!$B$75)*IF(G65&lt;=0,0,INDEX(Assumptions!$B$57:$F$57,MIN(G65,5)))*8760*$F$12*(1+Assumptions!$B$71)^(Model!G3-1)*Assumptions!$B$80/1000000</f>
        <v>0.64661406515999986</v>
      </c>
      <c r="H67" s="21">
        <f>$D$12*$E$12*(1+Assumptions!$B$75)*IF(H65&lt;=0,0,INDEX(Assumptions!$B$57:$F$57,MIN(H65,5)))*8760*$F$12*(1+Assumptions!$B$71)^(Model!H3-1)*Assumptions!$B$80/1000000</f>
        <v>0.77324265292049976</v>
      </c>
      <c r="I67" s="21">
        <f>$D$12*$E$12*(1+Assumptions!$B$75)*IF(I65&lt;=0,0,INDEX(Assumptions!$B$57:$F$57,MIN(I65,5)))*8760*$F$12*(1+Assumptions!$B$71)^(Model!I3-1)*Assumptions!$B$80/1000000</f>
        <v>0.96241094479569333</v>
      </c>
      <c r="J67" s="21">
        <f>$D$12*$E$12*(1+Assumptions!$B$75)*IF(J65&lt;=0,0,INDEX(Assumptions!$B$57:$F$57,MIN(J65,5)))*8760*$F$12*(1+Assumptions!$B$71)^(Model!J3-1)*Assumptions!$B$80/1000000</f>
        <v>1.102526655876243</v>
      </c>
      <c r="K67" s="21">
        <f>$D$12*$E$12*(1+Assumptions!$B$75)*IF(K65&lt;=0,0,INDEX(Assumptions!$B$57:$F$57,MIN(K65,5)))*8760*$F$12*(1+Assumptions!$B$71)^(Model!K3-1)*Assumptions!$B$80/1000000</f>
        <v>1.1895682339717357</v>
      </c>
      <c r="L67" s="21">
        <f>$D$12*$E$12*(1+Assumptions!$B$75)*IF(L65&lt;=0,0,INDEX(Assumptions!$B$57:$F$57,MIN(L65,5)))*8760*$F$12*(1+Assumptions!$B$71)^(Model!L3-1)*Assumptions!$B$80/1000000</f>
        <v>1.2193074398210288</v>
      </c>
      <c r="M67" s="21">
        <f>$D$12*$E$12*(1+Assumptions!$B$75)*IF(M65&lt;=0,0,INDEX(Assumptions!$B$57:$F$57,MIN(M65,5)))*8760*$F$12*(1+Assumptions!$B$71)^(Model!M3-1)*Assumptions!$B$80/1000000</f>
        <v>1.2497901258165545</v>
      </c>
      <c r="N67" s="21">
        <f>$D$12*$E$12*(1+Assumptions!$B$75)*IF(N65&lt;=0,0,INDEX(Assumptions!$B$57:$F$57,MIN(N65,5)))*8760*$F$12*(1+Assumptions!$B$71)^(Model!N3-1)*Assumptions!$B$80/1000000</f>
        <v>1.2810348789619683</v>
      </c>
      <c r="O67" s="21">
        <f>$D$12*$E$12*(1+Assumptions!$B$75)*IF(O65&lt;=0,0,INDEX(Assumptions!$B$57:$F$57,MIN(O65,5)))*8760*$F$12*(1+Assumptions!$B$71)^(Model!O3-1)*Assumptions!$B$80/1000000</f>
        <v>1.3130607509360177</v>
      </c>
      <c r="P67" s="21">
        <f>$D$12*$E$12*(1+Assumptions!$B$75)*IF(P65&lt;=0,0,INDEX(Assumptions!$B$57:$F$57,MIN(P65,5)))*8760*$F$12*(1+Assumptions!$B$71)^(Model!P3-1)*Assumptions!$B$80/1000000</f>
        <v>1.345887269709418</v>
      </c>
      <c r="Q67" s="21">
        <f>$D$12*$E$12*(1+Assumptions!$B$75)*IF(Q65&lt;=0,0,INDEX(Assumptions!$B$57:$F$57,MIN(Q65,5)))*8760*$F$12*(1+Assumptions!$B$71)^(Model!Q3-1)*Assumptions!$B$80/1000000</f>
        <v>1.3795344514521535</v>
      </c>
      <c r="R67" s="21">
        <f>$D$12*$E$12*(1+Assumptions!$B$75)*IF(R65&lt;=0,0,INDEX(Assumptions!$B$57:$F$57,MIN(R65,5)))*8760*$F$12*(1+Assumptions!$B$71)^(Model!R3-1)*Assumptions!$B$80/1000000</f>
        <v>1.4140228127384571</v>
      </c>
      <c r="S67" s="21">
        <f>$D$12*$E$12*(1+Assumptions!$B$75)*IF(S65&lt;=0,0,INDEX(Assumptions!$B$57:$F$57,MIN(S65,5)))*8760*$F$12*(1+Assumptions!$B$71)^(Model!S3-1)*Assumptions!$B$80/1000000</f>
        <v>1.4493733830569187</v>
      </c>
      <c r="T67" s="21">
        <f>$D$12*$E$12*(1+Assumptions!$B$75)*IF(T65&lt;=0,0,INDEX(Assumptions!$B$57:$F$57,MIN(T65,5)))*8760*$F$12*(1+Assumptions!$B$71)^(Model!T3-1)*Assumptions!$B$80/1000000</f>
        <v>1.4856077176333415</v>
      </c>
      <c r="U67" s="21">
        <f>$D$12*$E$12*(1+Assumptions!$B$75)*IF(U65&lt;=0,0,INDEX(Assumptions!$B$57:$F$57,MIN(U65,5)))*8760*$F$12*(1+Assumptions!$B$71)^(Model!U3-1)*Assumptions!$B$80/1000000</f>
        <v>1.5227479105741748</v>
      </c>
      <c r="V67" s="21">
        <f>$D$12*$E$12*(1+Assumptions!$B$75)*IF(V65&lt;=0,0,INDEX(Assumptions!$B$57:$F$57,MIN(V65,5)))*8760*$F$12*(1+Assumptions!$B$71)^(Model!V3-1)*Assumptions!$B$80/1000000</f>
        <v>1.5608166083385293</v>
      </c>
      <c r="W67" s="21">
        <f>$D$12*$E$12*(1+Assumptions!$B$75)*IF(W65&lt;=0,0,INDEX(Assumptions!$B$57:$F$57,MIN(W65,5)))*8760*$F$12*(1+Assumptions!$B$71)^(Model!W3-1)*Assumptions!$B$80/1000000</f>
        <v>1.5998370235469925</v>
      </c>
      <c r="X67" s="21">
        <f>$D$12*$E$12*(1+Assumptions!$B$75)*IF(X65&lt;=0,0,INDEX(Assumptions!$B$57:$F$57,MIN(X65,5)))*8760*$F$12*(1+Assumptions!$B$71)^(Model!X3-1)*Assumptions!$B$80/1000000</f>
        <v>1.6398329491356671</v>
      </c>
      <c r="Y67" s="21">
        <f>$D$12*$E$12*(1+Assumptions!$B$75)*IF(Y65&lt;=0,0,INDEX(Assumptions!$B$57:$F$57,MIN(Y65,5)))*8760*$F$12*(1+Assumptions!$B$71)^(Model!Y3-1)*Assumptions!$B$80/1000000</f>
        <v>1.6808287728640585</v>
      </c>
      <c r="Z67" s="21">
        <f>$D$12*$E$12*(1+Assumptions!$B$75)*IF(Z65&lt;=0,0,INDEX(Assumptions!$B$57:$F$57,MIN(Z65,5)))*8760*$F$12*(1+Assumptions!$B$71)^(Model!Z3-1)*Assumptions!$B$80/1000000</f>
        <v>1.7228494921856599</v>
      </c>
      <c r="AA67" s="21">
        <f>$D$12*$E$12*(1+Assumptions!$B$75)*IF(AA65&lt;=0,0,INDEX(Assumptions!$B$57:$F$57,MIN(AA65,5)))*8760*$F$12*(1+Assumptions!$B$71)^(Model!AA3-1)*Assumptions!$B$80/1000000</f>
        <v>1.7659207294903014</v>
      </c>
      <c r="AB67" s="21">
        <f>$D$12*$E$12*(1+Assumptions!$B$75)*IF(AB65&lt;=0,0,INDEX(Assumptions!$B$57:$F$57,MIN(AB65,5)))*8760*$F$12*(1+Assumptions!$B$71)^(Model!AB3-1)*Assumptions!$B$80/1000000</f>
        <v>1.8100687477275592</v>
      </c>
      <c r="AC67" s="21">
        <f>$D$12*$E$12*(1+Assumptions!$B$75)*IF(AC65&lt;=0,0,INDEX(Assumptions!$B$57:$F$57,MIN(AC65,5)))*8760*$F$12*(1+Assumptions!$B$71)^(Model!AC3-1)*Assumptions!$B$80/1000000</f>
        <v>1.8553204664207477</v>
      </c>
      <c r="AD67" s="21">
        <f>$D$12*$E$12*(1+Assumptions!$B$75)*IF(AD65&lt;=0,0,INDEX(Assumptions!$B$57:$F$57,MIN(AD65,5)))*8760*$F$12*(1+Assumptions!$B$71)^(Model!AD3-1)*Assumptions!$B$80/1000000</f>
        <v>1.9017034780812665</v>
      </c>
      <c r="AE67" s="21">
        <f>$D$12*$E$12*(1+Assumptions!$B$75)*IF(AE65&lt;=0,0,INDEX(Assumptions!$B$57:$F$57,MIN(AE65,5)))*8760*$F$12*(1+Assumptions!$B$71)^(Model!AE3-1)*Assumptions!$B$80/1000000</f>
        <v>1.9492460650332979</v>
      </c>
      <c r="AF67" s="21">
        <f>$D$12*$E$12*(1+Assumptions!$B$75)*IF(AF65&lt;=0,0,INDEX(Assumptions!$B$57:$F$57,MIN(AF65,5)))*8760*$F$12*(1+Assumptions!$B$71)^(Model!AF3-1)*Assumptions!$B$80/1000000</f>
        <v>1.9979772166591301</v>
      </c>
      <c r="AG67" s="21">
        <f>$D$12*$E$12*(1+Assumptions!$B$75)*IF(AG65&lt;=0,0,INDEX(Assumptions!$B$57:$F$57,MIN(AG65,5)))*8760*$F$12*(1+Assumptions!$B$71)^(Model!AG3-1)*Assumptions!$B$80/1000000</f>
        <v>2.0479266470756086</v>
      </c>
    </row>
    <row r="68" spans="1:33" ht="15" customHeight="1" x14ac:dyDescent="0.3">
      <c r="A68" s="9" t="s">
        <v>356</v>
      </c>
      <c r="D68" s="21">
        <f>$G$12*(IF(D65&lt;=0,0,IF(D65&lt;=5,$H$12/5*D65,IF(D65&lt;=10,$H$12+($I$12-$H$12)*(D65-5)/5,$I$12))))*365*(1+Assumptions!$B$75)*$J$12*(1+Assumptions!$B$71)^(Model!D3-1)*Assumptions!$B$80/1000000</f>
        <v>0</v>
      </c>
      <c r="E68" s="21">
        <f>$G$12*(IF(E65&lt;=0,0,IF(E65&lt;=5,$H$12/5*E65,IF(E65&lt;=10,$H$12+($I$12-$H$12)*(E65-5)/5,$I$12))))*365*(1+Assumptions!$B$75)*$J$12*(1+Assumptions!$B$71)^(Model!E3-1)*Assumptions!$B$80/1000000</f>
        <v>0</v>
      </c>
      <c r="F68" s="21">
        <f>$G$12*(IF(F65&lt;=0,0,IF(F65&lt;=5,$H$12/5*F65,IF(F65&lt;=10,$H$12+($I$12-$H$12)*(F65-5)/5,$I$12))))*365*(1+Assumptions!$B$75)*$J$12*(1+Assumptions!$B$71)^(Model!F3-1)*Assumptions!$B$80/1000000</f>
        <v>0</v>
      </c>
      <c r="G68" s="21">
        <f>$G$12*(IF(G65&lt;=0,0,IF(G65&lt;=5,$H$12/5*G65,IF(G65&lt;=10,$H$12+($I$12-$H$12)*(G65-5)/5,$I$12))))*365*(1+Assumptions!$B$75)*$J$12*(1+Assumptions!$B$71)^(Model!G3-1)*Assumptions!$B$80/1000000</f>
        <v>2.8890283242187492E-2</v>
      </c>
      <c r="H68" s="21">
        <f>$G$12*(IF(H65&lt;=0,0,IF(H65&lt;=5,$H$12/5*H65,IF(H65&lt;=10,$H$12+($I$12-$H$12)*(H65-5)/5,$I$12))))*365*(1+Assumptions!$B$75)*$J$12*(1+Assumptions!$B$71)^(Model!H3-1)*Assumptions!$B$80/1000000</f>
        <v>5.9225080646484358E-2</v>
      </c>
      <c r="I68" s="21">
        <f>$G$12*(IF(I65&lt;=0,0,IF(I65&lt;=5,$H$12/5*I65,IF(I65&lt;=10,$H$12+($I$12-$H$12)*(I65-5)/5,$I$12))))*365*(1+Assumptions!$B$75)*$J$12*(1+Assumptions!$B$71)^(Model!I3-1)*Assumptions!$B$80/1000000</f>
        <v>9.1058561493969681E-2</v>
      </c>
      <c r="J68" s="21">
        <f>$G$12*(IF(J65&lt;=0,0,IF(J65&lt;=5,$H$12/5*J65,IF(J65&lt;=10,$H$12+($I$12-$H$12)*(J65-5)/5,$I$12))))*365*(1+Assumptions!$B$75)*$J$12*(1+Assumptions!$B$71)^(Model!J3-1)*Assumptions!$B$80/1000000</f>
        <v>0.12444670070842521</v>
      </c>
      <c r="K68" s="21">
        <f>$G$12*(IF(K65&lt;=0,0,IF(K65&lt;=5,$H$12/5*K65,IF(K65&lt;=10,$H$12+($I$12-$H$12)*(K65-5)/5,$I$12))))*365*(1+Assumptions!$B$75)*$J$12*(1+Assumptions!$B$71)^(Model!K3-1)*Assumptions!$B$80/1000000</f>
        <v>0.15944733528266983</v>
      </c>
      <c r="L68" s="21">
        <f>$G$12*(IF(L65&lt;=0,0,IF(L65&lt;=5,$H$12/5*L65,IF(L65&lt;=10,$H$12+($I$12-$H$12)*(L65-5)/5,$I$12))))*365*(1+Assumptions!$B$75)*$J$12*(1+Assumptions!$B$71)^(Model!L3-1)*Assumptions!$B$80/1000000</f>
        <v>0.18678116418827034</v>
      </c>
      <c r="M68" s="21">
        <f>$G$12*(IF(M65&lt;=0,0,IF(M65&lt;=5,$H$12/5*M65,IF(M65&lt;=10,$H$12+($I$12-$H$12)*(M65-5)/5,$I$12))))*365*(1+Assumptions!$B$75)*$J$12*(1+Assumptions!$B$71)^(Model!M3-1)*Assumptions!$B$80/1000000</f>
        <v>0.21538202995459924</v>
      </c>
      <c r="N68" s="21">
        <f>$G$12*(IF(N65&lt;=0,0,IF(N65&lt;=5,$H$12/5*N65,IF(N65&lt;=10,$H$12+($I$12-$H$12)*(N65-5)/5,$I$12))))*365*(1+Assumptions!$B$75)*$J$12*(1+Assumptions!$B$71)^(Model!N3-1)*Assumptions!$B$80/1000000</f>
        <v>0.24529620078162695</v>
      </c>
      <c r="O68" s="21">
        <f>$G$12*(IF(O65&lt;=0,0,IF(O65&lt;=5,$H$12/5*O65,IF(O65&lt;=10,$H$12+($I$12-$H$12)*(O65-5)/5,$I$12))))*365*(1+Assumptions!$B$75)*$J$12*(1+Assumptions!$B$71)^(Model!O3-1)*Assumptions!$B$80/1000000</f>
        <v>0.27657146638128433</v>
      </c>
      <c r="P68" s="21">
        <f>$G$12*(IF(P65&lt;=0,0,IF(P65&lt;=5,$H$12/5*P65,IF(P65&lt;=10,$H$12+($I$12-$H$12)*(P65-5)/5,$I$12))))*365*(1+Assumptions!$B$75)*$J$12*(1+Assumptions!$B$71)^(Model!P3-1)*Assumptions!$B$80/1000000</f>
        <v>0.30925718513543615</v>
      </c>
      <c r="Q68" s="21">
        <f>$G$12*(IF(Q65&lt;=0,0,IF(Q65&lt;=5,$H$12/5*Q65,IF(Q65&lt;=10,$H$12+($I$12-$H$12)*(Q65-5)/5,$I$12))))*365*(1+Assumptions!$B$75)*$J$12*(1+Assumptions!$B$71)^(Model!Q3-1)*Assumptions!$B$80/1000000</f>
        <v>0.31698861476382201</v>
      </c>
      <c r="R68" s="21">
        <f>$G$12*(IF(R65&lt;=0,0,IF(R65&lt;=5,$H$12/5*R65,IF(R65&lt;=10,$H$12+($I$12-$H$12)*(R65-5)/5,$I$12))))*365*(1+Assumptions!$B$75)*$J$12*(1+Assumptions!$B$71)^(Model!R3-1)*Assumptions!$B$80/1000000</f>
        <v>0.32491333013291751</v>
      </c>
      <c r="S68" s="21">
        <f>$G$12*(IF(S65&lt;=0,0,IF(S65&lt;=5,$H$12/5*S65,IF(S65&lt;=10,$H$12+($I$12-$H$12)*(S65-5)/5,$I$12))))*365*(1+Assumptions!$B$75)*$J$12*(1+Assumptions!$B$71)^(Model!S3-1)*Assumptions!$B$80/1000000</f>
        <v>0.33303616338624048</v>
      </c>
      <c r="T68" s="21">
        <f>$G$12*(IF(T65&lt;=0,0,IF(T65&lt;=5,$H$12/5*T65,IF(T65&lt;=10,$H$12+($I$12-$H$12)*(T65-5)/5,$I$12))))*365*(1+Assumptions!$B$75)*$J$12*(1+Assumptions!$B$71)^(Model!T3-1)*Assumptions!$B$80/1000000</f>
        <v>0.34136206747089648</v>
      </c>
      <c r="U68" s="21">
        <f>$G$12*(IF(U65&lt;=0,0,IF(U65&lt;=5,$H$12/5*U65,IF(U65&lt;=10,$H$12+($I$12-$H$12)*(U65-5)/5,$I$12))))*365*(1+Assumptions!$B$75)*$J$12*(1+Assumptions!$B$71)^(Model!U3-1)*Assumptions!$B$80/1000000</f>
        <v>0.34989611915766883</v>
      </c>
      <c r="V68" s="21">
        <f>$G$12*(IF(V65&lt;=0,0,IF(V65&lt;=5,$H$12/5*V65,IF(V65&lt;=10,$H$12+($I$12-$H$12)*(V65-5)/5,$I$12))))*365*(1+Assumptions!$B$75)*$J$12*(1+Assumptions!$B$71)^(Model!V3-1)*Assumptions!$B$80/1000000</f>
        <v>0.3586435221366106</v>
      </c>
      <c r="W68" s="21">
        <f>$G$12*(IF(W65&lt;=0,0,IF(W65&lt;=5,$H$12/5*W65,IF(W65&lt;=10,$H$12+($I$12-$H$12)*(W65-5)/5,$I$12))))*365*(1+Assumptions!$B$75)*$J$12*(1+Assumptions!$B$71)^(Model!W3-1)*Assumptions!$B$80/1000000</f>
        <v>0.36760961019002586</v>
      </c>
      <c r="X68" s="21">
        <f>$G$12*(IF(X65&lt;=0,0,IF(X65&lt;=5,$H$12/5*X65,IF(X65&lt;=10,$H$12+($I$12-$H$12)*(X65-5)/5,$I$12))))*365*(1+Assumptions!$B$75)*$J$12*(1+Assumptions!$B$71)^(Model!X3-1)*Assumptions!$B$80/1000000</f>
        <v>0.37679985044477643</v>
      </c>
      <c r="Y68" s="21">
        <f>$G$12*(IF(Y65&lt;=0,0,IF(Y65&lt;=5,$H$12/5*Y65,IF(Y65&lt;=10,$H$12+($I$12-$H$12)*(Y65-5)/5,$I$12))))*365*(1+Assumptions!$B$75)*$J$12*(1+Assumptions!$B$71)^(Model!Y3-1)*Assumptions!$B$80/1000000</f>
        <v>0.38621984670589576</v>
      </c>
      <c r="Z68" s="21">
        <f>$G$12*(IF(Z65&lt;=0,0,IF(Z65&lt;=5,$H$12/5*Z65,IF(Z65&lt;=10,$H$12+($I$12-$H$12)*(Z65-5)/5,$I$12))))*365*(1+Assumptions!$B$75)*$J$12*(1+Assumptions!$B$71)^(Model!Z3-1)*Assumptions!$B$80/1000000</f>
        <v>0.3958753428735432</v>
      </c>
      <c r="AA68" s="21">
        <f>$G$12*(IF(AA65&lt;=0,0,IF(AA65&lt;=5,$H$12/5*AA65,IF(AA65&lt;=10,$H$12+($I$12-$H$12)*(AA65-5)/5,$I$12))))*365*(1+Assumptions!$B$75)*$J$12*(1+Assumptions!$B$71)^(Model!AA3-1)*Assumptions!$B$80/1000000</f>
        <v>0.4057722264453818</v>
      </c>
      <c r="AB68" s="21">
        <f>$G$12*(IF(AB65&lt;=0,0,IF(AB65&lt;=5,$H$12/5*AB65,IF(AB65&lt;=10,$H$12+($I$12-$H$12)*(AB65-5)/5,$I$12))))*365*(1+Assumptions!$B$75)*$J$12*(1+Assumptions!$B$71)^(Model!AB3-1)*Assumptions!$B$80/1000000</f>
        <v>0.4159165321065163</v>
      </c>
      <c r="AC68" s="21">
        <f>$G$12*(IF(AC65&lt;=0,0,IF(AC65&lt;=5,$H$12/5*AC65,IF(AC65&lt;=10,$H$12+($I$12-$H$12)*(AC65-5)/5,$I$12))))*365*(1+Assumptions!$B$75)*$J$12*(1+Assumptions!$B$71)^(Model!AC3-1)*Assumptions!$B$80/1000000</f>
        <v>0.42631444540917912</v>
      </c>
      <c r="AD68" s="21">
        <f>$G$12*(IF(AD65&lt;=0,0,IF(AD65&lt;=5,$H$12/5*AD65,IF(AD65&lt;=10,$H$12+($I$12-$H$12)*(AD65-5)/5,$I$12))))*365*(1+Assumptions!$B$75)*$J$12*(1+Assumptions!$B$71)^(Model!AD3-1)*Assumptions!$B$80/1000000</f>
        <v>0.43697230654440861</v>
      </c>
      <c r="AE68" s="21">
        <f>$G$12*(IF(AE65&lt;=0,0,IF(AE65&lt;=5,$H$12/5*AE65,IF(AE65&lt;=10,$H$12+($I$12-$H$12)*(AE65-5)/5,$I$12))))*365*(1+Assumptions!$B$75)*$J$12*(1+Assumptions!$B$71)^(Model!AE3-1)*Assumptions!$B$80/1000000</f>
        <v>0.44789661420801874</v>
      </c>
      <c r="AF68" s="21">
        <f>$G$12*(IF(AF65&lt;=0,0,IF(AF65&lt;=5,$H$12/5*AF65,IF(AF65&lt;=10,$H$12+($I$12-$H$12)*(AF65-5)/5,$I$12))))*365*(1+Assumptions!$B$75)*$J$12*(1+Assumptions!$B$71)^(Model!AF3-1)*Assumptions!$B$80/1000000</f>
        <v>0.45909402956321921</v>
      </c>
      <c r="AG68" s="21">
        <f>$G$12*(IF(AG65&lt;=0,0,IF(AG65&lt;=5,$H$12/5*AG65,IF(AG65&lt;=10,$H$12+($I$12-$H$12)*(AG65-5)/5,$I$12))))*365*(1+Assumptions!$B$75)*$J$12*(1+Assumptions!$B$71)^(Model!AG3-1)*Assumptions!$B$80/1000000</f>
        <v>0.47057138030229978</v>
      </c>
    </row>
    <row r="69" spans="1:33" ht="15" customHeight="1" x14ac:dyDescent="0.3">
      <c r="A69" s="9" t="s">
        <v>357</v>
      </c>
      <c r="D69" s="21">
        <f>$L$12*IF(D65&lt;=0,0,INDEX(Assumptions!$B$57:$F$57,MIN(D65,5)))*(1+Assumptions!$B$71)^(Model!D3-1)</f>
        <v>0</v>
      </c>
      <c r="E69" s="21">
        <f>$L$12*IF(E65&lt;=0,0,INDEX(Assumptions!$B$57:$F$57,MIN(E65,5)))*(1+Assumptions!$B$71)^(Model!E3-1)</f>
        <v>0</v>
      </c>
      <c r="F69" s="21">
        <f>$L$12*IF(F65&lt;=0,0,INDEX(Assumptions!$B$57:$F$57,MIN(F65,5)))*(1+Assumptions!$B$71)^(Model!F3-1)</f>
        <v>0</v>
      </c>
      <c r="G69" s="21">
        <f>$L$12*IF(G65&lt;=0,0,INDEX(Assumptions!$B$57:$F$57,MIN(G65,5)))*(1+Assumptions!$B$71)^(Model!G3-1)</f>
        <v>0.128580740625</v>
      </c>
      <c r="H69" s="21">
        <f>$L$12*IF(H65&lt;=0,0,INDEX(Assumptions!$B$57:$F$57,MIN(H65,5)))*(1+Assumptions!$B$71)^(Model!H3-1)</f>
        <v>0.15376113566406246</v>
      </c>
      <c r="I69" s="21">
        <f>$L$12*IF(I65&lt;=0,0,INDEX(Assumptions!$B$57:$F$57,MIN(I65,5)))*(1+Assumptions!$B$71)^(Model!I3-1)</f>
        <v>0.19137769921044914</v>
      </c>
      <c r="J69" s="21">
        <f>$L$12*IF(J65&lt;=0,0,INDEX(Assumptions!$B$57:$F$57,MIN(J65,5)))*(1+Assumptions!$B$71)^(Model!J3-1)</f>
        <v>0.21924004071314687</v>
      </c>
      <c r="K69" s="21">
        <f>$L$12*IF(K65&lt;=0,0,INDEX(Assumptions!$B$57:$F$57,MIN(K65,5)))*(1+Assumptions!$B$71)^(Model!K3-1)</f>
        <v>0.23654846497997431</v>
      </c>
      <c r="L69" s="21">
        <f>$L$12*IF(L65&lt;=0,0,INDEX(Assumptions!$B$57:$F$57,MIN(L65,5)))*(1+Assumptions!$B$71)^(Model!L3-1)</f>
        <v>0.24246217660447364</v>
      </c>
      <c r="M69" s="21">
        <f>$L$12*IF(M65&lt;=0,0,INDEX(Assumptions!$B$57:$F$57,MIN(M65,5)))*(1+Assumptions!$B$71)^(Model!M3-1)</f>
        <v>0.24852373101958544</v>
      </c>
      <c r="N69" s="21">
        <f>$L$12*IF(N65&lt;=0,0,INDEX(Assumptions!$B$57:$F$57,MIN(N65,5)))*(1+Assumptions!$B$71)^(Model!N3-1)</f>
        <v>0.25473682429507505</v>
      </c>
      <c r="O69" s="21">
        <f>$L$12*IF(O65&lt;=0,0,INDEX(Assumptions!$B$57:$F$57,MIN(O65,5)))*(1+Assumptions!$B$71)^(Model!O3-1)</f>
        <v>0.26110524490245196</v>
      </c>
      <c r="P69" s="21">
        <f>$L$12*IF(P65&lt;=0,0,INDEX(Assumptions!$B$57:$F$57,MIN(P65,5)))*(1+Assumptions!$B$71)^(Model!P3-1)</f>
        <v>0.26763287602501323</v>
      </c>
      <c r="Q69" s="21">
        <f>$L$12*IF(Q65&lt;=0,0,INDEX(Assumptions!$B$57:$F$57,MIN(Q65,5)))*(1+Assumptions!$B$71)^(Model!Q3-1)</f>
        <v>0.27432369792563854</v>
      </c>
      <c r="R69" s="21">
        <f>$L$12*IF(R65&lt;=0,0,INDEX(Assumptions!$B$57:$F$57,MIN(R65,5)))*(1+Assumptions!$B$71)^(Model!R3-1)</f>
        <v>0.28118179037377949</v>
      </c>
      <c r="S69" s="21">
        <f>$L$12*IF(S65&lt;=0,0,INDEX(Assumptions!$B$57:$F$57,MIN(S65,5)))*(1+Assumptions!$B$71)^(Model!S3-1)</f>
        <v>0.28821133513312402</v>
      </c>
      <c r="T69" s="21">
        <f>$L$12*IF(T65&lt;=0,0,INDEX(Assumptions!$B$57:$F$57,MIN(T65,5)))*(1+Assumptions!$B$71)^(Model!T3-1)</f>
        <v>0.29541661851145207</v>
      </c>
      <c r="U69" s="21">
        <f>$L$12*IF(U65&lt;=0,0,INDEX(Assumptions!$B$57:$F$57,MIN(U65,5)))*(1+Assumptions!$B$71)^(Model!U3-1)</f>
        <v>0.30280203397423833</v>
      </c>
      <c r="V69" s="21">
        <f>$L$12*IF(V65&lt;=0,0,INDEX(Assumptions!$B$57:$F$57,MIN(V65,5)))*(1+Assumptions!$B$71)^(Model!V3-1)</f>
        <v>0.3103720848235943</v>
      </c>
      <c r="W69" s="21">
        <f>$L$12*IF(W65&lt;=0,0,INDEX(Assumptions!$B$57:$F$57,MIN(W65,5)))*(1+Assumptions!$B$71)^(Model!W3-1)</f>
        <v>0.31813138694418419</v>
      </c>
      <c r="X69" s="21">
        <f>$L$12*IF(X65&lt;=0,0,INDEX(Assumptions!$B$57:$F$57,MIN(X65,5)))*(1+Assumptions!$B$71)^(Model!X3-1)</f>
        <v>0.32608467161778876</v>
      </c>
      <c r="Y69" s="21">
        <f>$L$12*IF(Y65&lt;=0,0,INDEX(Assumptions!$B$57:$F$57,MIN(Y65,5)))*(1+Assumptions!$B$71)^(Model!Y3-1)</f>
        <v>0.3342367884082334</v>
      </c>
      <c r="Z69" s="21">
        <f>$L$12*IF(Z65&lt;=0,0,INDEX(Assumptions!$B$57:$F$57,MIN(Z65,5)))*(1+Assumptions!$B$71)^(Model!Z3-1)</f>
        <v>0.34259270811843923</v>
      </c>
      <c r="AA69" s="21">
        <f>$L$12*IF(AA65&lt;=0,0,INDEX(Assumptions!$B$57:$F$57,MIN(AA65,5)))*(1+Assumptions!$B$71)^(Model!AA3-1)</f>
        <v>0.35115752582140025</v>
      </c>
      <c r="AB69" s="21">
        <f>$L$12*IF(AB65&lt;=0,0,INDEX(Assumptions!$B$57:$F$57,MIN(AB65,5)))*(1+Assumptions!$B$71)^(Model!AB3-1)</f>
        <v>0.35993646396693524</v>
      </c>
      <c r="AC69" s="21">
        <f>$L$12*IF(AC65&lt;=0,0,INDEX(Assumptions!$B$57:$F$57,MIN(AC65,5)))*(1+Assumptions!$B$71)^(Model!AC3-1)</f>
        <v>0.36893487556610854</v>
      </c>
      <c r="AD69" s="21">
        <f>$L$12*IF(AD65&lt;=0,0,INDEX(Assumptions!$B$57:$F$57,MIN(AD65,5)))*(1+Assumptions!$B$71)^(Model!AD3-1)</f>
        <v>0.37815824745526122</v>
      </c>
      <c r="AE69" s="21">
        <f>$L$12*IF(AE65&lt;=0,0,INDEX(Assumptions!$B$57:$F$57,MIN(AE65,5)))*(1+Assumptions!$B$71)^(Model!AE3-1)</f>
        <v>0.38761220364164273</v>
      </c>
      <c r="AF69" s="21">
        <f>$L$12*IF(AF65&lt;=0,0,INDEX(Assumptions!$B$57:$F$57,MIN(AF65,5)))*(1+Assumptions!$B$71)^(Model!AF3-1)</f>
        <v>0.3973025087326838</v>
      </c>
      <c r="AG69" s="21">
        <f>$L$12*IF(AG65&lt;=0,0,INDEX(Assumptions!$B$57:$F$57,MIN(AG65,5)))*(1+Assumptions!$B$71)^(Model!AG3-1)</f>
        <v>0.40723507145100091</v>
      </c>
    </row>
    <row r="70" spans="1:33" ht="15" customHeight="1" x14ac:dyDescent="0.3">
      <c r="A70" s="9" t="s">
        <v>358</v>
      </c>
      <c r="D70" s="21">
        <f>IF(D65&gt;0,$K$12*(1+Assumptions!$B$71)^(Model!D3-1),0)</f>
        <v>0</v>
      </c>
      <c r="E70" s="21">
        <f>IF(E65&gt;0,$K$12*(1+Assumptions!$B$71)^(Model!E3-1),0)</f>
        <v>0</v>
      </c>
      <c r="F70" s="21">
        <f>IF(F65&gt;0,$K$12*(1+Assumptions!$B$71)^(Model!F3-1),0)</f>
        <v>0</v>
      </c>
      <c r="G70" s="21">
        <f>IF(G65&gt;0,$K$12*(1+Assumptions!$B$71)^(Model!G3-1),0)</f>
        <v>1.9685560624999998</v>
      </c>
      <c r="H70" s="21">
        <f>IF(H65&gt;0,$K$12*(1+Assumptions!$B$71)^(Model!H3-1),0)</f>
        <v>2.0177699640624995</v>
      </c>
      <c r="I70" s="21">
        <f>IF(I65&gt;0,$K$12*(1+Assumptions!$B$71)^(Model!I3-1),0)</f>
        <v>2.0682142131640617</v>
      </c>
      <c r="J70" s="21">
        <f>IF(J65&gt;0,$K$12*(1+Assumptions!$B$71)^(Model!J3-1),0)</f>
        <v>2.1199195684931635</v>
      </c>
      <c r="K70" s="21">
        <f>IF(K65&gt;0,$K$12*(1+Assumptions!$B$71)^(Model!K3-1),0)</f>
        <v>2.1729175577054924</v>
      </c>
      <c r="L70" s="21">
        <f>IF(L65&gt;0,$K$12*(1+Assumptions!$B$71)^(Model!L3-1),0)</f>
        <v>2.2272404966481298</v>
      </c>
      <c r="M70" s="21">
        <f>IF(M65&gt;0,$K$12*(1+Assumptions!$B$71)^(Model!M3-1),0)</f>
        <v>2.2829215090643324</v>
      </c>
      <c r="N70" s="21">
        <f>IF(N65&gt;0,$K$12*(1+Assumptions!$B$71)^(Model!N3-1),0)</f>
        <v>2.3399945467909409</v>
      </c>
      <c r="O70" s="21">
        <f>IF(O65&gt;0,$K$12*(1+Assumptions!$B$71)^(Model!O3-1),0)</f>
        <v>2.3984944104607142</v>
      </c>
      <c r="P70" s="21">
        <f>IF(P65&gt;0,$K$12*(1+Assumptions!$B$71)^(Model!P3-1),0)</f>
        <v>2.4584567707222318</v>
      </c>
      <c r="Q70" s="21">
        <f>IF(Q65&gt;0,$K$12*(1+Assumptions!$B$71)^(Model!Q3-1),0)</f>
        <v>2.5199181899902876</v>
      </c>
      <c r="R70" s="21">
        <f>IF(R65&gt;0,$K$12*(1+Assumptions!$B$71)^(Model!R3-1),0)</f>
        <v>2.5829161447400444</v>
      </c>
      <c r="S70" s="21">
        <f>IF(S65&gt;0,$K$12*(1+Assumptions!$B$71)^(Model!S3-1),0)</f>
        <v>2.6474890483585463</v>
      </c>
      <c r="T70" s="21">
        <f>IF(T65&gt;0,$K$12*(1+Assumptions!$B$71)^(Model!T3-1),0)</f>
        <v>2.7136762745675096</v>
      </c>
      <c r="U70" s="21">
        <f>IF(U65&gt;0,$K$12*(1+Assumptions!$B$71)^(Model!U3-1),0)</f>
        <v>2.7815181814316969</v>
      </c>
      <c r="V70" s="21">
        <f>IF(V65&gt;0,$K$12*(1+Assumptions!$B$71)^(Model!V3-1),0)</f>
        <v>2.8510561359674895</v>
      </c>
      <c r="W70" s="21">
        <f>IF(W65&gt;0,$K$12*(1+Assumptions!$B$71)^(Model!W3-1),0)</f>
        <v>2.9223325393666766</v>
      </c>
      <c r="X70" s="21">
        <f>IF(X65&gt;0,$K$12*(1+Assumptions!$B$71)^(Model!X3-1),0)</f>
        <v>2.9953908528508433</v>
      </c>
      <c r="Y70" s="21">
        <f>IF(Y65&gt;0,$K$12*(1+Assumptions!$B$71)^(Model!Y3-1),0)</f>
        <v>3.0702756241721141</v>
      </c>
      <c r="Z70" s="21">
        <f>IF(Z65&gt;0,$K$12*(1+Assumptions!$B$71)^(Model!Z3-1),0)</f>
        <v>3.1470325147764169</v>
      </c>
      <c r="AA70" s="21">
        <f>IF(AA65&gt;0,$K$12*(1+Assumptions!$B$71)^(Model!AA3-1),0)</f>
        <v>3.2257083276458274</v>
      </c>
      <c r="AB70" s="21">
        <f>IF(AB65&gt;0,$K$12*(1+Assumptions!$B$71)^(Model!AB3-1),0)</f>
        <v>3.3063510358369728</v>
      </c>
      <c r="AC70" s="21">
        <f>IF(AC65&gt;0,$K$12*(1+Assumptions!$B$71)^(Model!AC3-1),0)</f>
        <v>3.3890098117328966</v>
      </c>
      <c r="AD70" s="21">
        <f>IF(AD65&gt;0,$K$12*(1+Assumptions!$B$71)^(Model!AD3-1),0)</f>
        <v>3.4737350570262184</v>
      </c>
      <c r="AE70" s="21">
        <f>IF(AE65&gt;0,$K$12*(1+Assumptions!$B$71)^(Model!AE3-1),0)</f>
        <v>3.560578433451874</v>
      </c>
      <c r="AF70" s="21">
        <f>IF(AF65&gt;0,$K$12*(1+Assumptions!$B$71)^(Model!AF3-1),0)</f>
        <v>3.6495928942881704</v>
      </c>
      <c r="AG70" s="21">
        <f>IF(AG65&gt;0,$K$12*(1+Assumptions!$B$71)^(Model!AG3-1),0)</f>
        <v>3.7408327166453752</v>
      </c>
    </row>
    <row r="71" spans="1:33" ht="14.5" thickBot="1" x14ac:dyDescent="0.35"/>
    <row r="72" spans="1:33" ht="15" customHeight="1" thickBot="1" x14ac:dyDescent="0.35">
      <c r="A72" s="53" t="s">
        <v>129</v>
      </c>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5"/>
    </row>
    <row r="74" spans="1:33" ht="15" customHeight="1" x14ac:dyDescent="0.3">
      <c r="A74" s="13" t="s">
        <v>130</v>
      </c>
      <c r="D74" s="22">
        <f t="shared" ref="D74:AG74" si="0">D17+D24+D31+D38+D45+D52+D59+D66</f>
        <v>18.740000000000002</v>
      </c>
      <c r="E74" s="22">
        <f t="shared" si="0"/>
        <v>45.620000000000005</v>
      </c>
      <c r="F74" s="22">
        <f t="shared" si="0"/>
        <v>53.76</v>
      </c>
      <c r="G74" s="22">
        <f t="shared" si="0"/>
        <v>16.279999999999998</v>
      </c>
      <c r="H74" s="22">
        <f t="shared" si="0"/>
        <v>0</v>
      </c>
      <c r="I74" s="22">
        <f t="shared" si="0"/>
        <v>0</v>
      </c>
      <c r="J74" s="22">
        <f t="shared" si="0"/>
        <v>0</v>
      </c>
      <c r="K74" s="22">
        <f t="shared" si="0"/>
        <v>0</v>
      </c>
      <c r="L74" s="22">
        <f t="shared" si="0"/>
        <v>0</v>
      </c>
      <c r="M74" s="22">
        <f t="shared" si="0"/>
        <v>0</v>
      </c>
      <c r="N74" s="22">
        <f t="shared" si="0"/>
        <v>0</v>
      </c>
      <c r="O74" s="22">
        <f t="shared" si="0"/>
        <v>0</v>
      </c>
      <c r="P74" s="22">
        <f t="shared" si="0"/>
        <v>0</v>
      </c>
      <c r="Q74" s="22">
        <f t="shared" si="0"/>
        <v>0</v>
      </c>
      <c r="R74" s="22">
        <f t="shared" si="0"/>
        <v>0</v>
      </c>
      <c r="S74" s="22">
        <f t="shared" si="0"/>
        <v>0</v>
      </c>
      <c r="T74" s="22">
        <f t="shared" si="0"/>
        <v>0</v>
      </c>
      <c r="U74" s="22">
        <f t="shared" si="0"/>
        <v>0</v>
      </c>
      <c r="V74" s="22">
        <f t="shared" si="0"/>
        <v>0</v>
      </c>
      <c r="W74" s="22">
        <f t="shared" si="0"/>
        <v>0</v>
      </c>
      <c r="X74" s="22">
        <f t="shared" si="0"/>
        <v>0</v>
      </c>
      <c r="Y74" s="22">
        <f t="shared" si="0"/>
        <v>0</v>
      </c>
      <c r="Z74" s="22">
        <f t="shared" si="0"/>
        <v>0</v>
      </c>
      <c r="AA74" s="22">
        <f t="shared" si="0"/>
        <v>0</v>
      </c>
      <c r="AB74" s="22">
        <f t="shared" si="0"/>
        <v>0</v>
      </c>
      <c r="AC74" s="22">
        <f t="shared" si="0"/>
        <v>0</v>
      </c>
      <c r="AD74" s="22">
        <f t="shared" si="0"/>
        <v>0</v>
      </c>
      <c r="AE74" s="22">
        <f t="shared" si="0"/>
        <v>0</v>
      </c>
      <c r="AF74" s="22">
        <f t="shared" si="0"/>
        <v>0</v>
      </c>
      <c r="AG74" s="22">
        <f t="shared" si="0"/>
        <v>0</v>
      </c>
    </row>
    <row r="75" spans="1:33" ht="15" customHeight="1" x14ac:dyDescent="0.3">
      <c r="A75" s="13" t="s">
        <v>131</v>
      </c>
      <c r="D75" s="21">
        <f t="shared" ref="D75:AG75" si="1">D18+D25+D32+D39+D46+D53+D60+D67</f>
        <v>0</v>
      </c>
      <c r="E75" s="21">
        <f t="shared" si="1"/>
        <v>0</v>
      </c>
      <c r="F75" s="21">
        <f t="shared" si="1"/>
        <v>5.4410207921999989</v>
      </c>
      <c r="G75" s="21">
        <f t="shared" si="1"/>
        <v>14.564981817728997</v>
      </c>
      <c r="H75" s="21">
        <f t="shared" si="1"/>
        <v>17.734872560912326</v>
      </c>
      <c r="I75" s="21">
        <f t="shared" si="1"/>
        <v>21.271404845304229</v>
      </c>
      <c r="J75" s="21">
        <f t="shared" si="1"/>
        <v>23.75001992983935</v>
      </c>
      <c r="K75" s="21">
        <f t="shared" si="1"/>
        <v>25.085020133878977</v>
      </c>
      <c r="L75" s="21">
        <f t="shared" si="1"/>
        <v>25.712145637225948</v>
      </c>
      <c r="M75" s="21">
        <f t="shared" si="1"/>
        <v>26.354949278156596</v>
      </c>
      <c r="N75" s="21">
        <f t="shared" si="1"/>
        <v>27.013823010110507</v>
      </c>
      <c r="O75" s="21">
        <f t="shared" si="1"/>
        <v>27.689168585363277</v>
      </c>
      <c r="P75" s="21">
        <f t="shared" si="1"/>
        <v>28.381397799997352</v>
      </c>
      <c r="Q75" s="21">
        <f t="shared" si="1"/>
        <v>29.090932744997282</v>
      </c>
      <c r="R75" s="21">
        <f t="shared" si="1"/>
        <v>29.81820606362222</v>
      </c>
      <c r="S75" s="21">
        <f t="shared" si="1"/>
        <v>30.563661215212765</v>
      </c>
      <c r="T75" s="21">
        <f t="shared" si="1"/>
        <v>31.327752745593088</v>
      </c>
      <c r="U75" s="21">
        <f t="shared" si="1"/>
        <v>32.110946564232911</v>
      </c>
      <c r="V75" s="21">
        <f t="shared" si="1"/>
        <v>32.913720228338732</v>
      </c>
      <c r="W75" s="21">
        <f t="shared" si="1"/>
        <v>33.736563234047196</v>
      </c>
      <c r="X75" s="21">
        <f t="shared" si="1"/>
        <v>34.579977314898379</v>
      </c>
      <c r="Y75" s="21">
        <f t="shared" si="1"/>
        <v>35.444476747770835</v>
      </c>
      <c r="Z75" s="21">
        <f t="shared" si="1"/>
        <v>36.330588666465097</v>
      </c>
      <c r="AA75" s="21">
        <f t="shared" si="1"/>
        <v>37.238853383126738</v>
      </c>
      <c r="AB75" s="21">
        <f t="shared" si="1"/>
        <v>38.169824717704913</v>
      </c>
      <c r="AC75" s="21">
        <f t="shared" si="1"/>
        <v>39.124070335647517</v>
      </c>
      <c r="AD75" s="21">
        <f t="shared" si="1"/>
        <v>40.1021720940387</v>
      </c>
      <c r="AE75" s="21">
        <f t="shared" si="1"/>
        <v>41.104726396389673</v>
      </c>
      <c r="AF75" s="21">
        <f t="shared" si="1"/>
        <v>42.132344556299415</v>
      </c>
      <c r="AG75" s="21">
        <f t="shared" si="1"/>
        <v>43.185653170206891</v>
      </c>
    </row>
    <row r="76" spans="1:33" ht="15" customHeight="1" x14ac:dyDescent="0.3">
      <c r="A76" s="13" t="s">
        <v>132</v>
      </c>
      <c r="D76" s="21">
        <f t="shared" ref="D76:AG76" si="2">D19+D26+D33+D40+D47+D54+D61+D68</f>
        <v>0</v>
      </c>
      <c r="E76" s="21">
        <f t="shared" si="2"/>
        <v>0</v>
      </c>
      <c r="F76" s="21">
        <f t="shared" si="2"/>
        <v>9.0596707031249987E-2</v>
      </c>
      <c r="G76" s="21">
        <f t="shared" si="2"/>
        <v>0.47772146932617182</v>
      </c>
      <c r="H76" s="21">
        <f t="shared" si="2"/>
        <v>0.88414584679394514</v>
      </c>
      <c r="I76" s="21">
        <f t="shared" si="2"/>
        <v>1.3105928672167777</v>
      </c>
      <c r="J76" s="21">
        <f t="shared" si="2"/>
        <v>1.7578096475065061</v>
      </c>
      <c r="K76" s="21">
        <f t="shared" si="2"/>
        <v>2.1810117647593765</v>
      </c>
      <c r="L76" s="21">
        <f t="shared" si="2"/>
        <v>2.5122066583322367</v>
      </c>
      <c r="M76" s="21">
        <f t="shared" si="2"/>
        <v>2.8585981642307643</v>
      </c>
      <c r="N76" s="21">
        <f t="shared" si="2"/>
        <v>3.2207391162627621</v>
      </c>
      <c r="O76" s="21">
        <f t="shared" si="2"/>
        <v>3.599200492043714</v>
      </c>
      <c r="P76" s="21">
        <f t="shared" si="2"/>
        <v>3.9301433944294999</v>
      </c>
      <c r="Q76" s="21">
        <f t="shared" si="2"/>
        <v>4.0283969792902372</v>
      </c>
      <c r="R76" s="21">
        <f t="shared" si="2"/>
        <v>4.1291069037724935</v>
      </c>
      <c r="S76" s="21">
        <f t="shared" si="2"/>
        <v>4.2323345763668057</v>
      </c>
      <c r="T76" s="21">
        <f t="shared" si="2"/>
        <v>4.3381429407759766</v>
      </c>
      <c r="U76" s="21">
        <f t="shared" si="2"/>
        <v>4.4465965142953756</v>
      </c>
      <c r="V76" s="21">
        <f t="shared" si="2"/>
        <v>4.5577614271527596</v>
      </c>
      <c r="W76" s="21">
        <f t="shared" si="2"/>
        <v>4.6717054628315777</v>
      </c>
      <c r="X76" s="21">
        <f t="shared" si="2"/>
        <v>4.788498099402366</v>
      </c>
      <c r="Y76" s="21">
        <f t="shared" si="2"/>
        <v>4.9082105518874268</v>
      </c>
      <c r="Z76" s="21">
        <f t="shared" si="2"/>
        <v>5.0309158156846117</v>
      </c>
      <c r="AA76" s="21">
        <f t="shared" si="2"/>
        <v>5.1566887110767272</v>
      </c>
      <c r="AB76" s="21">
        <f t="shared" si="2"/>
        <v>5.285605928853645</v>
      </c>
      <c r="AC76" s="21">
        <f t="shared" si="2"/>
        <v>5.4177460770749866</v>
      </c>
      <c r="AD76" s="21">
        <f t="shared" si="2"/>
        <v>5.5531897290018595</v>
      </c>
      <c r="AE76" s="21">
        <f t="shared" si="2"/>
        <v>5.6920194722269057</v>
      </c>
      <c r="AF76" s="21">
        <f t="shared" si="2"/>
        <v>5.8343199590325767</v>
      </c>
      <c r="AG76" s="21">
        <f t="shared" si="2"/>
        <v>5.980177958008392</v>
      </c>
    </row>
    <row r="77" spans="1:33" ht="15" customHeight="1" x14ac:dyDescent="0.3">
      <c r="A77" s="13" t="s">
        <v>133</v>
      </c>
      <c r="D77" s="21">
        <f t="shared" ref="D77:AG77" si="3">D20+D27+D34+D41+D48+D55+D62+D69</f>
        <v>0</v>
      </c>
      <c r="E77" s="21">
        <f t="shared" si="3"/>
        <v>0</v>
      </c>
      <c r="F77" s="21">
        <f t="shared" si="3"/>
        <v>0.94556249999999986</v>
      </c>
      <c r="G77" s="21">
        <f t="shared" si="3"/>
        <v>2.616844218749999</v>
      </c>
      <c r="H77" s="21">
        <f t="shared" si="3"/>
        <v>3.1845001894531242</v>
      </c>
      <c r="I77" s="21">
        <f t="shared" si="3"/>
        <v>3.8241597595703118</v>
      </c>
      <c r="J77" s="21">
        <f t="shared" si="3"/>
        <v>4.2734702461145</v>
      </c>
      <c r="K77" s="21">
        <f t="shared" si="3"/>
        <v>4.5170058639392074</v>
      </c>
      <c r="L77" s="21">
        <f t="shared" si="3"/>
        <v>4.6299310105376881</v>
      </c>
      <c r="M77" s="21">
        <f t="shared" si="3"/>
        <v>4.7456792858011294</v>
      </c>
      <c r="N77" s="21">
        <f t="shared" si="3"/>
        <v>4.8643212679461572</v>
      </c>
      <c r="O77" s="21">
        <f t="shared" si="3"/>
        <v>4.9859292996448117</v>
      </c>
      <c r="P77" s="21">
        <f t="shared" si="3"/>
        <v>5.110577532135931</v>
      </c>
      <c r="Q77" s="21">
        <f t="shared" si="3"/>
        <v>5.2383419704393299</v>
      </c>
      <c r="R77" s="21">
        <f t="shared" si="3"/>
        <v>5.3693005197003112</v>
      </c>
      <c r="S77" s="21">
        <f t="shared" si="3"/>
        <v>5.50353303269282</v>
      </c>
      <c r="T77" s="21">
        <f t="shared" si="3"/>
        <v>5.6411213585101407</v>
      </c>
      <c r="U77" s="21">
        <f t="shared" si="3"/>
        <v>5.7821493924728928</v>
      </c>
      <c r="V77" s="21">
        <f t="shared" si="3"/>
        <v>5.9267031272847159</v>
      </c>
      <c r="W77" s="21">
        <f t="shared" si="3"/>
        <v>6.0748707054668332</v>
      </c>
      <c r="X77" s="21">
        <f t="shared" si="3"/>
        <v>6.2267424731035028</v>
      </c>
      <c r="Y77" s="21">
        <f t="shared" si="3"/>
        <v>6.3824110349310903</v>
      </c>
      <c r="Z77" s="21">
        <f t="shared" si="3"/>
        <v>6.5419713108043673</v>
      </c>
      <c r="AA77" s="21">
        <f t="shared" si="3"/>
        <v>6.7055205935744775</v>
      </c>
      <c r="AB77" s="21">
        <f t="shared" si="3"/>
        <v>6.8731586084138376</v>
      </c>
      <c r="AC77" s="21">
        <f t="shared" si="3"/>
        <v>7.0449875736241845</v>
      </c>
      <c r="AD77" s="21">
        <f t="shared" si="3"/>
        <v>7.2211122629647875</v>
      </c>
      <c r="AE77" s="21">
        <f t="shared" si="3"/>
        <v>7.4016400695389075</v>
      </c>
      <c r="AF77" s="21">
        <f t="shared" si="3"/>
        <v>7.5866810712773791</v>
      </c>
      <c r="AG77" s="21">
        <f t="shared" si="3"/>
        <v>7.7763480980593132</v>
      </c>
    </row>
    <row r="78" spans="1:33" ht="15" customHeight="1" x14ac:dyDescent="0.3">
      <c r="A78" s="13" t="s">
        <v>134</v>
      </c>
      <c r="D78" s="21">
        <f t="shared" ref="D78:AG78" si="4">D21+D28+D35+D42+D49+D56+D63+D70</f>
        <v>0</v>
      </c>
      <c r="E78" s="21">
        <f t="shared" si="4"/>
        <v>0</v>
      </c>
      <c r="F78" s="21">
        <f t="shared" si="4"/>
        <v>12.607499999999998</v>
      </c>
      <c r="G78" s="21">
        <f t="shared" si="4"/>
        <v>32.899008593749997</v>
      </c>
      <c r="H78" s="21">
        <f t="shared" si="4"/>
        <v>33.721483808593746</v>
      </c>
      <c r="I78" s="21">
        <f t="shared" si="4"/>
        <v>34.564520903808585</v>
      </c>
      <c r="J78" s="21">
        <f t="shared" si="4"/>
        <v>35.428633926403798</v>
      </c>
      <c r="K78" s="21">
        <f t="shared" si="4"/>
        <v>36.314349774563894</v>
      </c>
      <c r="L78" s="21">
        <f t="shared" si="4"/>
        <v>37.222208518927978</v>
      </c>
      <c r="M78" s="21">
        <f t="shared" si="4"/>
        <v>38.152763731901182</v>
      </c>
      <c r="N78" s="21">
        <f t="shared" si="4"/>
        <v>39.106582825198721</v>
      </c>
      <c r="O78" s="21">
        <f t="shared" si="4"/>
        <v>40.084247395828676</v>
      </c>
      <c r="P78" s="21">
        <f t="shared" si="4"/>
        <v>41.086353580724385</v>
      </c>
      <c r="Q78" s="21">
        <f t="shared" si="4"/>
        <v>42.113512420242493</v>
      </c>
      <c r="R78" s="21">
        <f t="shared" si="4"/>
        <v>43.166350230748556</v>
      </c>
      <c r="S78" s="21">
        <f t="shared" si="4"/>
        <v>44.245508986517272</v>
      </c>
      <c r="T78" s="21">
        <f t="shared" si="4"/>
        <v>45.351646711180209</v>
      </c>
      <c r="U78" s="21">
        <f t="shared" si="4"/>
        <v>46.485437878959708</v>
      </c>
      <c r="V78" s="21">
        <f t="shared" si="4"/>
        <v>47.647573825933684</v>
      </c>
      <c r="W78" s="21">
        <f t="shared" si="4"/>
        <v>48.838763171582045</v>
      </c>
      <c r="X78" s="21">
        <f t="shared" si="4"/>
        <v>50.059732250871591</v>
      </c>
      <c r="Y78" s="21">
        <f t="shared" si="4"/>
        <v>51.311225557143366</v>
      </c>
      <c r="Z78" s="21">
        <f t="shared" si="4"/>
        <v>52.594006196071945</v>
      </c>
      <c r="AA78" s="21">
        <f t="shared" si="4"/>
        <v>53.90885635097375</v>
      </c>
      <c r="AB78" s="21">
        <f t="shared" si="4"/>
        <v>55.256577759748083</v>
      </c>
      <c r="AC78" s="21">
        <f t="shared" si="4"/>
        <v>56.637992203741781</v>
      </c>
      <c r="AD78" s="21">
        <f t="shared" si="4"/>
        <v>58.053942008835321</v>
      </c>
      <c r="AE78" s="21">
        <f t="shared" si="4"/>
        <v>59.505290559056206</v>
      </c>
      <c r="AF78" s="21">
        <f t="shared" si="4"/>
        <v>60.992922823032607</v>
      </c>
      <c r="AG78" s="21">
        <f t="shared" si="4"/>
        <v>62.517745893608435</v>
      </c>
    </row>
  </sheetData>
  <mergeCells count="2">
    <mergeCell ref="A1:L1"/>
    <mergeCell ref="A2:L2"/>
  </mergeCells>
  <pageMargins left="0.3" right="0.3" top="0.5" bottom="0.5" header="0.2" footer="0.2"/>
  <pageSetup paperSize="9" fitToHeight="0" orientation="landscape" horizontalDpi="300" verticalDpi="300"/>
  <headerFooter>
    <oddHeader>&amp;CSite Detail</oddHeader>
    <oddFooter>&amp;RPage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G117"/>
  <sheetViews>
    <sheetView showGridLines="0" zoomScaleNormal="100" workbookViewId="0">
      <pane xSplit="3" ySplit="6" topLeftCell="D92" activePane="bottomRight" state="frozen"/>
      <selection activeCell="A59" sqref="A59:F63"/>
      <selection pane="topRight" activeCell="A59" sqref="A59:F63"/>
      <selection pane="bottomLeft" activeCell="A59" sqref="A59:F63"/>
      <selection pane="bottomRight" activeCell="A59" sqref="A59:F63"/>
    </sheetView>
  </sheetViews>
  <sheetFormatPr defaultColWidth="8.6328125" defaultRowHeight="14" x14ac:dyDescent="0.3"/>
  <cols>
    <col min="1" max="1" width="38.08984375" style="9" customWidth="1"/>
    <col min="2" max="3" width="2" style="9" customWidth="1"/>
    <col min="4" max="4" width="6.6328125" style="9" bestFit="1" customWidth="1"/>
    <col min="5" max="9" width="7.6328125" style="9" bestFit="1" customWidth="1"/>
    <col min="10" max="33" width="8.6328125" style="9" bestFit="1" customWidth="1"/>
    <col min="34" max="16384" width="8.6328125" style="9"/>
  </cols>
  <sheetData>
    <row r="1" spans="1:33" ht="17.25" customHeight="1" thickBot="1" x14ac:dyDescent="0.35">
      <c r="A1" s="90" t="s">
        <v>135</v>
      </c>
      <c r="B1" s="91"/>
      <c r="C1" s="91"/>
      <c r="D1" s="91"/>
      <c r="E1" s="91"/>
      <c r="F1" s="91"/>
      <c r="G1" s="91"/>
      <c r="H1" s="91"/>
      <c r="I1" s="91"/>
      <c r="J1" s="91"/>
      <c r="K1" s="91"/>
      <c r="L1" s="91"/>
      <c r="M1" s="91"/>
      <c r="N1" s="92"/>
    </row>
    <row r="2" spans="1:33" ht="14.5" thickBot="1" x14ac:dyDescent="0.35"/>
    <row r="3" spans="1:33" ht="15" customHeight="1" thickBot="1" x14ac:dyDescent="0.35">
      <c r="A3" s="13" t="s">
        <v>136</v>
      </c>
      <c r="D3" s="56">
        <v>1</v>
      </c>
      <c r="E3" s="56">
        <v>2</v>
      </c>
      <c r="F3" s="56">
        <v>3</v>
      </c>
      <c r="G3" s="56">
        <v>4</v>
      </c>
      <c r="H3" s="56">
        <v>5</v>
      </c>
      <c r="I3" s="56">
        <v>6</v>
      </c>
      <c r="J3" s="56">
        <v>7</v>
      </c>
      <c r="K3" s="56">
        <v>8</v>
      </c>
      <c r="L3" s="56">
        <v>9</v>
      </c>
      <c r="M3" s="56">
        <v>10</v>
      </c>
      <c r="N3" s="56">
        <v>11</v>
      </c>
      <c r="O3" s="56">
        <v>12</v>
      </c>
      <c r="P3" s="56">
        <v>13</v>
      </c>
      <c r="Q3" s="56">
        <v>14</v>
      </c>
      <c r="R3" s="56">
        <v>15</v>
      </c>
      <c r="S3" s="56">
        <v>16</v>
      </c>
      <c r="T3" s="56">
        <v>17</v>
      </c>
      <c r="U3" s="56">
        <v>18</v>
      </c>
      <c r="V3" s="56">
        <v>19</v>
      </c>
      <c r="W3" s="56">
        <v>20</v>
      </c>
      <c r="X3" s="56">
        <v>21</v>
      </c>
      <c r="Y3" s="56">
        <v>22</v>
      </c>
      <c r="Z3" s="56">
        <v>23</v>
      </c>
      <c r="AA3" s="56">
        <v>24</v>
      </c>
      <c r="AB3" s="56">
        <v>25</v>
      </c>
      <c r="AC3" s="56">
        <v>26</v>
      </c>
      <c r="AD3" s="56">
        <v>27</v>
      </c>
      <c r="AE3" s="56">
        <v>28</v>
      </c>
      <c r="AF3" s="56">
        <v>29</v>
      </c>
      <c r="AG3" s="56">
        <v>30</v>
      </c>
    </row>
    <row r="4" spans="1:33" ht="15" customHeight="1" x14ac:dyDescent="0.3">
      <c r="A4" s="13" t="s">
        <v>137</v>
      </c>
      <c r="D4" s="37">
        <f>Assumptions!$B$6+D3-1</f>
        <v>2027</v>
      </c>
      <c r="E4" s="37">
        <f>Assumptions!$B$6+E3-1</f>
        <v>2028</v>
      </c>
      <c r="F4" s="37">
        <f>Assumptions!$B$6+F3-1</f>
        <v>2029</v>
      </c>
      <c r="G4" s="37">
        <f>Assumptions!$B$6+G3-1</f>
        <v>2030</v>
      </c>
      <c r="H4" s="37">
        <f>Assumptions!$B$6+H3-1</f>
        <v>2031</v>
      </c>
      <c r="I4" s="37">
        <f>Assumptions!$B$6+I3-1</f>
        <v>2032</v>
      </c>
      <c r="J4" s="37">
        <f>Assumptions!$B$6+J3-1</f>
        <v>2033</v>
      </c>
      <c r="K4" s="37">
        <f>Assumptions!$B$6+K3-1</f>
        <v>2034</v>
      </c>
      <c r="L4" s="37">
        <f>Assumptions!$B$6+L3-1</f>
        <v>2035</v>
      </c>
      <c r="M4" s="37">
        <f>Assumptions!$B$6+M3-1</f>
        <v>2036</v>
      </c>
      <c r="N4" s="37">
        <f>Assumptions!$B$6+N3-1</f>
        <v>2037</v>
      </c>
      <c r="O4" s="37">
        <f>Assumptions!$B$6+O3-1</f>
        <v>2038</v>
      </c>
      <c r="P4" s="37">
        <f>Assumptions!$B$6+P3-1</f>
        <v>2039</v>
      </c>
      <c r="Q4" s="37">
        <f>Assumptions!$B$6+Q3-1</f>
        <v>2040</v>
      </c>
      <c r="R4" s="37">
        <f>Assumptions!$B$6+R3-1</f>
        <v>2041</v>
      </c>
      <c r="S4" s="37">
        <f>Assumptions!$B$6+S3-1</f>
        <v>2042</v>
      </c>
      <c r="T4" s="37">
        <f>Assumptions!$B$6+T3-1</f>
        <v>2043</v>
      </c>
      <c r="U4" s="37">
        <f>Assumptions!$B$6+U3-1</f>
        <v>2044</v>
      </c>
      <c r="V4" s="37">
        <f>Assumptions!$B$6+V3-1</f>
        <v>2045</v>
      </c>
      <c r="W4" s="37">
        <f>Assumptions!$B$6+W3-1</f>
        <v>2046</v>
      </c>
      <c r="X4" s="37">
        <f>Assumptions!$B$6+X3-1</f>
        <v>2047</v>
      </c>
      <c r="Y4" s="37">
        <f>Assumptions!$B$6+Y3-1</f>
        <v>2048</v>
      </c>
      <c r="Z4" s="37">
        <f>Assumptions!$B$6+Z3-1</f>
        <v>2049</v>
      </c>
      <c r="AA4" s="37">
        <f>Assumptions!$B$6+AA3-1</f>
        <v>2050</v>
      </c>
      <c r="AB4" s="37">
        <f>Assumptions!$B$6+AB3-1</f>
        <v>2051</v>
      </c>
      <c r="AC4" s="37">
        <f>Assumptions!$B$6+AC3-1</f>
        <v>2052</v>
      </c>
      <c r="AD4" s="37">
        <f>Assumptions!$B$6+AD3-1</f>
        <v>2053</v>
      </c>
      <c r="AE4" s="37">
        <f>Assumptions!$B$6+AE3-1</f>
        <v>2054</v>
      </c>
      <c r="AF4" s="37">
        <f>Assumptions!$B$6+AF3-1</f>
        <v>2055</v>
      </c>
      <c r="AG4" s="37">
        <f>Assumptions!$B$6+AG3-1</f>
        <v>2056</v>
      </c>
    </row>
    <row r="5" spans="1:33" ht="15" customHeight="1" x14ac:dyDescent="0.3">
      <c r="A5" s="9" t="s">
        <v>138</v>
      </c>
      <c r="D5" s="37">
        <f>IF(D3&gt;=Assumptions!$B$9,D3-Assumptions!$B$9+1,0)</f>
        <v>0</v>
      </c>
      <c r="E5" s="37">
        <f>IF(E3&gt;=Assumptions!$B$9,E3-Assumptions!$B$9+1,0)</f>
        <v>0</v>
      </c>
      <c r="F5" s="37">
        <f>IF(F3&gt;=Assumptions!$B$9,F3-Assumptions!$B$9+1,0)</f>
        <v>1</v>
      </c>
      <c r="G5" s="37">
        <f>IF(G3&gt;=Assumptions!$B$9,G3-Assumptions!$B$9+1,0)</f>
        <v>2</v>
      </c>
      <c r="H5" s="37">
        <f>IF(H3&gt;=Assumptions!$B$9,H3-Assumptions!$B$9+1,0)</f>
        <v>3</v>
      </c>
      <c r="I5" s="37">
        <f>IF(I3&gt;=Assumptions!$B$9,I3-Assumptions!$B$9+1,0)</f>
        <v>4</v>
      </c>
      <c r="J5" s="37">
        <f>IF(J3&gt;=Assumptions!$B$9,J3-Assumptions!$B$9+1,0)</f>
        <v>5</v>
      </c>
      <c r="K5" s="37">
        <f>IF(K3&gt;=Assumptions!$B$9,K3-Assumptions!$B$9+1,0)</f>
        <v>6</v>
      </c>
      <c r="L5" s="37">
        <f>IF(L3&gt;=Assumptions!$B$9,L3-Assumptions!$B$9+1,0)</f>
        <v>7</v>
      </c>
      <c r="M5" s="37">
        <f>IF(M3&gt;=Assumptions!$B$9,M3-Assumptions!$B$9+1,0)</f>
        <v>8</v>
      </c>
      <c r="N5" s="37">
        <f>IF(N3&gt;=Assumptions!$B$9,N3-Assumptions!$B$9+1,0)</f>
        <v>9</v>
      </c>
      <c r="O5" s="37">
        <f>IF(O3&gt;=Assumptions!$B$9,O3-Assumptions!$B$9+1,0)</f>
        <v>10</v>
      </c>
      <c r="P5" s="37">
        <f>IF(P3&gt;=Assumptions!$B$9,P3-Assumptions!$B$9+1,0)</f>
        <v>11</v>
      </c>
      <c r="Q5" s="37">
        <f>IF(Q3&gt;=Assumptions!$B$9,Q3-Assumptions!$B$9+1,0)</f>
        <v>12</v>
      </c>
      <c r="R5" s="37">
        <f>IF(R3&gt;=Assumptions!$B$9,R3-Assumptions!$B$9+1,0)</f>
        <v>13</v>
      </c>
      <c r="S5" s="37">
        <f>IF(S3&gt;=Assumptions!$B$9,S3-Assumptions!$B$9+1,0)</f>
        <v>14</v>
      </c>
      <c r="T5" s="37">
        <f>IF(T3&gt;=Assumptions!$B$9,T3-Assumptions!$B$9+1,0)</f>
        <v>15</v>
      </c>
      <c r="U5" s="37">
        <f>IF(U3&gt;=Assumptions!$B$9,U3-Assumptions!$B$9+1,0)</f>
        <v>16</v>
      </c>
      <c r="V5" s="37">
        <f>IF(V3&gt;=Assumptions!$B$9,V3-Assumptions!$B$9+1,0)</f>
        <v>17</v>
      </c>
      <c r="W5" s="37">
        <f>IF(W3&gt;=Assumptions!$B$9,W3-Assumptions!$B$9+1,0)</f>
        <v>18</v>
      </c>
      <c r="X5" s="37">
        <f>IF(X3&gt;=Assumptions!$B$9,X3-Assumptions!$B$9+1,0)</f>
        <v>19</v>
      </c>
      <c r="Y5" s="37">
        <f>IF(Y3&gt;=Assumptions!$B$9,Y3-Assumptions!$B$9+1,0)</f>
        <v>20</v>
      </c>
      <c r="Z5" s="37">
        <f>IF(Z3&gt;=Assumptions!$B$9,Z3-Assumptions!$B$9+1,0)</f>
        <v>21</v>
      </c>
      <c r="AA5" s="37">
        <f>IF(AA3&gt;=Assumptions!$B$9,AA3-Assumptions!$B$9+1,0)</f>
        <v>22</v>
      </c>
      <c r="AB5" s="37">
        <f>IF(AB3&gt;=Assumptions!$B$9,AB3-Assumptions!$B$9+1,0)</f>
        <v>23</v>
      </c>
      <c r="AC5" s="37">
        <f>IF(AC3&gt;=Assumptions!$B$9,AC3-Assumptions!$B$9+1,0)</f>
        <v>24</v>
      </c>
      <c r="AD5" s="37">
        <f>IF(AD3&gt;=Assumptions!$B$9,AD3-Assumptions!$B$9+1,0)</f>
        <v>25</v>
      </c>
      <c r="AE5" s="37">
        <f>IF(AE3&gt;=Assumptions!$B$9,AE3-Assumptions!$B$9+1,0)</f>
        <v>26</v>
      </c>
      <c r="AF5" s="37">
        <f>IF(AF3&gt;=Assumptions!$B$9,AF3-Assumptions!$B$9+1,0)</f>
        <v>27</v>
      </c>
      <c r="AG5" s="37">
        <f>IF(AG3&gt;=Assumptions!$B$9,AG3-Assumptions!$B$9+1,0)</f>
        <v>28</v>
      </c>
    </row>
    <row r="6" spans="1:33" ht="15" customHeight="1" x14ac:dyDescent="0.3">
      <c r="A6" s="9" t="s">
        <v>139</v>
      </c>
      <c r="D6" s="37">
        <f>IF(D3&gt;=Assumptions!$B$10,D3-Assumptions!$B$10+1,0)</f>
        <v>0</v>
      </c>
      <c r="E6" s="37">
        <f>IF(E3&gt;=Assumptions!$B$10,E3-Assumptions!$B$10+1,0)</f>
        <v>0</v>
      </c>
      <c r="F6" s="37">
        <f>IF(F3&gt;=Assumptions!$B$10,F3-Assumptions!$B$10+1,0)</f>
        <v>0</v>
      </c>
      <c r="G6" s="37">
        <f>IF(G3&gt;=Assumptions!$B$10,G3-Assumptions!$B$10+1,0)</f>
        <v>1</v>
      </c>
      <c r="H6" s="37">
        <f>IF(H3&gt;=Assumptions!$B$10,H3-Assumptions!$B$10+1,0)</f>
        <v>2</v>
      </c>
      <c r="I6" s="37">
        <f>IF(I3&gt;=Assumptions!$B$10,I3-Assumptions!$B$10+1,0)</f>
        <v>3</v>
      </c>
      <c r="J6" s="37">
        <f>IF(J3&gt;=Assumptions!$B$10,J3-Assumptions!$B$10+1,0)</f>
        <v>4</v>
      </c>
      <c r="K6" s="37">
        <f>IF(K3&gt;=Assumptions!$B$10,K3-Assumptions!$B$10+1,0)</f>
        <v>5</v>
      </c>
      <c r="L6" s="37">
        <f>IF(L3&gt;=Assumptions!$B$10,L3-Assumptions!$B$10+1,0)</f>
        <v>6</v>
      </c>
      <c r="M6" s="37">
        <f>IF(M3&gt;=Assumptions!$B$10,M3-Assumptions!$B$10+1,0)</f>
        <v>7</v>
      </c>
      <c r="N6" s="37">
        <f>IF(N3&gt;=Assumptions!$B$10,N3-Assumptions!$B$10+1,0)</f>
        <v>8</v>
      </c>
      <c r="O6" s="37">
        <f>IF(O3&gt;=Assumptions!$B$10,O3-Assumptions!$B$10+1,0)</f>
        <v>9</v>
      </c>
      <c r="P6" s="37">
        <f>IF(P3&gt;=Assumptions!$B$10,P3-Assumptions!$B$10+1,0)</f>
        <v>10</v>
      </c>
      <c r="Q6" s="37">
        <f>IF(Q3&gt;=Assumptions!$B$10,Q3-Assumptions!$B$10+1,0)</f>
        <v>11</v>
      </c>
      <c r="R6" s="37">
        <f>IF(R3&gt;=Assumptions!$B$10,R3-Assumptions!$B$10+1,0)</f>
        <v>12</v>
      </c>
      <c r="S6" s="37">
        <f>IF(S3&gt;=Assumptions!$B$10,S3-Assumptions!$B$10+1,0)</f>
        <v>13</v>
      </c>
      <c r="T6" s="37">
        <f>IF(T3&gt;=Assumptions!$B$10,T3-Assumptions!$B$10+1,0)</f>
        <v>14</v>
      </c>
      <c r="U6" s="37">
        <f>IF(U3&gt;=Assumptions!$B$10,U3-Assumptions!$B$10+1,0)</f>
        <v>15</v>
      </c>
      <c r="V6" s="37">
        <f>IF(V3&gt;=Assumptions!$B$10,V3-Assumptions!$B$10+1,0)</f>
        <v>16</v>
      </c>
      <c r="W6" s="37">
        <f>IF(W3&gt;=Assumptions!$B$10,W3-Assumptions!$B$10+1,0)</f>
        <v>17</v>
      </c>
      <c r="X6" s="37">
        <f>IF(X3&gt;=Assumptions!$B$10,X3-Assumptions!$B$10+1,0)</f>
        <v>18</v>
      </c>
      <c r="Y6" s="37">
        <f>IF(Y3&gt;=Assumptions!$B$10,Y3-Assumptions!$B$10+1,0)</f>
        <v>19</v>
      </c>
      <c r="Z6" s="37">
        <f>IF(Z3&gt;=Assumptions!$B$10,Z3-Assumptions!$B$10+1,0)</f>
        <v>20</v>
      </c>
      <c r="AA6" s="37">
        <f>IF(AA3&gt;=Assumptions!$B$10,AA3-Assumptions!$B$10+1,0)</f>
        <v>21</v>
      </c>
      <c r="AB6" s="37">
        <f>IF(AB3&gt;=Assumptions!$B$10,AB3-Assumptions!$B$10+1,0)</f>
        <v>22</v>
      </c>
      <c r="AC6" s="37">
        <f>IF(AC3&gt;=Assumptions!$B$10,AC3-Assumptions!$B$10+1,0)</f>
        <v>23</v>
      </c>
      <c r="AD6" s="37">
        <f>IF(AD3&gt;=Assumptions!$B$10,AD3-Assumptions!$B$10+1,0)</f>
        <v>24</v>
      </c>
      <c r="AE6" s="37">
        <f>IF(AE3&gt;=Assumptions!$B$10,AE3-Assumptions!$B$10+1,0)</f>
        <v>25</v>
      </c>
      <c r="AF6" s="37">
        <f>IF(AF3&gt;=Assumptions!$B$10,AF3-Assumptions!$B$10+1,0)</f>
        <v>26</v>
      </c>
      <c r="AG6" s="37">
        <f>IF(AG3&gt;=Assumptions!$B$10,AG3-Assumptions!$B$10+1,0)</f>
        <v>27</v>
      </c>
    </row>
    <row r="8" spans="1:33" ht="15" customHeight="1" x14ac:dyDescent="0.3">
      <c r="A8" s="51" t="s">
        <v>140</v>
      </c>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row>
    <row r="10" spans="1:33" ht="15" customHeight="1" x14ac:dyDescent="0.3">
      <c r="A10" s="9" t="s">
        <v>141</v>
      </c>
      <c r="D10" s="21">
        <f>IF(D3&lt;=4,Assumptions!$B$15*Assumptions!$C$15*INDEX(Assumptions!$B$23:$E$23,D3),0)*(1+Assumptions!$B$76)</f>
        <v>10.600000000000001</v>
      </c>
      <c r="E10" s="21">
        <f>IF(E3&lt;=4,Assumptions!$B$15*Assumptions!$C$15*INDEX(Assumptions!$B$23:$E$23,E3),0)*(1+Assumptions!$B$76)</f>
        <v>21.200000000000003</v>
      </c>
      <c r="F10" s="21">
        <f>IF(F3&lt;=4,Assumptions!$B$15*Assumptions!$C$15*INDEX(Assumptions!$B$23:$E$23,F3),0)*(1+Assumptions!$B$76)</f>
        <v>21.200000000000003</v>
      </c>
      <c r="G10" s="21">
        <f>IF(G3&lt;=4,Assumptions!$B$15*Assumptions!$C$15*INDEX(Assumptions!$B$23:$E$23,G3),0)*(1+Assumptions!$B$76)</f>
        <v>0</v>
      </c>
      <c r="H10" s="21">
        <f>IF(H3&lt;=4,Assumptions!$B$15*Assumptions!$C$15*INDEX(Assumptions!$B$23:$E$23,H3),0)*(1+Assumptions!$B$76)</f>
        <v>0</v>
      </c>
      <c r="I10" s="21">
        <f>IF(I3&lt;=4,Assumptions!$B$15*Assumptions!$C$15*INDEX(Assumptions!$B$23:$E$23,I3),0)*(1+Assumptions!$B$76)</f>
        <v>0</v>
      </c>
      <c r="J10" s="21">
        <f>IF(J3&lt;=4,Assumptions!$B$15*Assumptions!$C$15*INDEX(Assumptions!$B$23:$E$23,J3),0)*(1+Assumptions!$B$76)</f>
        <v>0</v>
      </c>
      <c r="K10" s="21">
        <f>IF(K3&lt;=4,Assumptions!$B$15*Assumptions!$C$15*INDEX(Assumptions!$B$23:$E$23,K3),0)*(1+Assumptions!$B$76)</f>
        <v>0</v>
      </c>
      <c r="L10" s="21">
        <f>IF(L3&lt;=4,Assumptions!$B$15*Assumptions!$C$15*INDEX(Assumptions!$B$23:$E$23,L3),0)*(1+Assumptions!$B$76)</f>
        <v>0</v>
      </c>
      <c r="M10" s="21">
        <f>IF(M3&lt;=4,Assumptions!$B$15*Assumptions!$C$15*INDEX(Assumptions!$B$23:$E$23,M3),0)*(1+Assumptions!$B$76)</f>
        <v>0</v>
      </c>
      <c r="N10" s="21">
        <f>IF(N3&lt;=4,Assumptions!$B$15*Assumptions!$C$15*INDEX(Assumptions!$B$23:$E$23,N3),0)*(1+Assumptions!$B$76)</f>
        <v>0</v>
      </c>
      <c r="O10" s="21">
        <f>IF(O3&lt;=4,Assumptions!$B$15*Assumptions!$C$15*INDEX(Assumptions!$B$23:$E$23,O3),0)*(1+Assumptions!$B$76)</f>
        <v>0</v>
      </c>
      <c r="P10" s="21">
        <f>IF(P3&lt;=4,Assumptions!$B$15*Assumptions!$C$15*INDEX(Assumptions!$B$23:$E$23,P3),0)*(1+Assumptions!$B$76)</f>
        <v>0</v>
      </c>
      <c r="Q10" s="21">
        <f>IF(Q3&lt;=4,Assumptions!$B$15*Assumptions!$C$15*INDEX(Assumptions!$B$23:$E$23,Q3),0)*(1+Assumptions!$B$76)</f>
        <v>0</v>
      </c>
      <c r="R10" s="21">
        <f>IF(R3&lt;=4,Assumptions!$B$15*Assumptions!$C$15*INDEX(Assumptions!$B$23:$E$23,R3),0)*(1+Assumptions!$B$76)</f>
        <v>0</v>
      </c>
      <c r="S10" s="21">
        <f>IF(S3&lt;=4,Assumptions!$B$15*Assumptions!$C$15*INDEX(Assumptions!$B$23:$E$23,S3),0)*(1+Assumptions!$B$76)</f>
        <v>0</v>
      </c>
      <c r="T10" s="21">
        <f>IF(T3&lt;=4,Assumptions!$B$15*Assumptions!$C$15*INDEX(Assumptions!$B$23:$E$23,T3),0)*(1+Assumptions!$B$76)</f>
        <v>0</v>
      </c>
      <c r="U10" s="21">
        <f>IF(U3&lt;=4,Assumptions!$B$15*Assumptions!$C$15*INDEX(Assumptions!$B$23:$E$23,U3),0)*(1+Assumptions!$B$76)</f>
        <v>0</v>
      </c>
      <c r="V10" s="21">
        <f>IF(V3&lt;=4,Assumptions!$B$15*Assumptions!$C$15*INDEX(Assumptions!$B$23:$E$23,V3),0)*(1+Assumptions!$B$76)</f>
        <v>0</v>
      </c>
      <c r="W10" s="21">
        <f>IF(W3&lt;=4,Assumptions!$B$15*Assumptions!$C$15*INDEX(Assumptions!$B$23:$E$23,W3),0)*(1+Assumptions!$B$76)</f>
        <v>0</v>
      </c>
      <c r="X10" s="21">
        <f>IF(X3&lt;=4,Assumptions!$B$15*Assumptions!$C$15*INDEX(Assumptions!$B$23:$E$23,X3),0)*(1+Assumptions!$B$76)</f>
        <v>0</v>
      </c>
      <c r="Y10" s="21">
        <f>IF(Y3&lt;=4,Assumptions!$B$15*Assumptions!$C$15*INDEX(Assumptions!$B$23:$E$23,Y3),0)*(1+Assumptions!$B$76)</f>
        <v>0</v>
      </c>
      <c r="Z10" s="21">
        <f>IF(Z3&lt;=4,Assumptions!$B$15*Assumptions!$C$15*INDEX(Assumptions!$B$23:$E$23,Z3),0)*(1+Assumptions!$B$76)</f>
        <v>0</v>
      </c>
      <c r="AA10" s="21">
        <f>IF(AA3&lt;=4,Assumptions!$B$15*Assumptions!$C$15*INDEX(Assumptions!$B$23:$E$23,AA3),0)*(1+Assumptions!$B$76)</f>
        <v>0</v>
      </c>
      <c r="AB10" s="21">
        <f>IF(AB3&lt;=4,Assumptions!$B$15*Assumptions!$C$15*INDEX(Assumptions!$B$23:$E$23,AB3),0)*(1+Assumptions!$B$76)</f>
        <v>0</v>
      </c>
      <c r="AC10" s="21">
        <f>IF(AC3&lt;=4,Assumptions!$B$15*Assumptions!$C$15*INDEX(Assumptions!$B$23:$E$23,AC3),0)*(1+Assumptions!$B$76)</f>
        <v>0</v>
      </c>
      <c r="AD10" s="21">
        <f>IF(AD3&lt;=4,Assumptions!$B$15*Assumptions!$C$15*INDEX(Assumptions!$B$23:$E$23,AD3),0)*(1+Assumptions!$B$76)</f>
        <v>0</v>
      </c>
      <c r="AE10" s="21">
        <f>IF(AE3&lt;=4,Assumptions!$B$15*Assumptions!$C$15*INDEX(Assumptions!$B$23:$E$23,AE3),0)*(1+Assumptions!$B$76)</f>
        <v>0</v>
      </c>
      <c r="AF10" s="21">
        <f>IF(AF3&lt;=4,Assumptions!$B$15*Assumptions!$C$15*INDEX(Assumptions!$B$23:$E$23,AF3),0)*(1+Assumptions!$B$76)</f>
        <v>0</v>
      </c>
      <c r="AG10" s="21">
        <f>IF(AG3&lt;=4,Assumptions!$B$15*Assumptions!$C$15*INDEX(Assumptions!$B$23:$E$23,AG3),0)*(1+Assumptions!$B$76)</f>
        <v>0</v>
      </c>
    </row>
    <row r="11" spans="1:33" ht="15" customHeight="1" x14ac:dyDescent="0.3">
      <c r="A11" s="9" t="s">
        <v>142</v>
      </c>
      <c r="D11" s="21">
        <f>IF(D3&lt;=4,Assumptions!$B$16*Assumptions!$C$16*INDEX(Assumptions!$B$24:$E$24,D3),0)*(1+Assumptions!$B$76)</f>
        <v>5.01</v>
      </c>
      <c r="E11" s="21">
        <f>IF(E3&lt;=4,Assumptions!$B$16*Assumptions!$C$16*INDEX(Assumptions!$B$24:$E$24,E3),0)*(1+Assumptions!$B$76)</f>
        <v>15.029999999999998</v>
      </c>
      <c r="F11" s="21">
        <f>IF(F3&lt;=4,Assumptions!$B$16*Assumptions!$C$16*INDEX(Assumptions!$B$24:$E$24,F3),0)*(1+Assumptions!$B$76)</f>
        <v>20.04</v>
      </c>
      <c r="G11" s="21">
        <f>IF(G3&lt;=4,Assumptions!$B$16*Assumptions!$C$16*INDEX(Assumptions!$B$24:$E$24,G3),0)*(1+Assumptions!$B$76)</f>
        <v>10.02</v>
      </c>
      <c r="H11" s="21">
        <f>IF(H3&lt;=4,Assumptions!$B$16*Assumptions!$C$16*INDEX(Assumptions!$B$24:$E$24,H3),0)*(1+Assumptions!$B$76)</f>
        <v>0</v>
      </c>
      <c r="I11" s="21">
        <f>IF(I3&lt;=4,Assumptions!$B$16*Assumptions!$C$16*INDEX(Assumptions!$B$24:$E$24,I3),0)*(1+Assumptions!$B$76)</f>
        <v>0</v>
      </c>
      <c r="J11" s="21">
        <f>IF(J3&lt;=4,Assumptions!$B$16*Assumptions!$C$16*INDEX(Assumptions!$B$24:$E$24,J3),0)*(1+Assumptions!$B$76)</f>
        <v>0</v>
      </c>
      <c r="K11" s="21">
        <f>IF(K3&lt;=4,Assumptions!$B$16*Assumptions!$C$16*INDEX(Assumptions!$B$24:$E$24,K3),0)*(1+Assumptions!$B$76)</f>
        <v>0</v>
      </c>
      <c r="L11" s="21">
        <f>IF(L3&lt;=4,Assumptions!$B$16*Assumptions!$C$16*INDEX(Assumptions!$B$24:$E$24,L3),0)*(1+Assumptions!$B$76)</f>
        <v>0</v>
      </c>
      <c r="M11" s="21">
        <f>IF(M3&lt;=4,Assumptions!$B$16*Assumptions!$C$16*INDEX(Assumptions!$B$24:$E$24,M3),0)*(1+Assumptions!$B$76)</f>
        <v>0</v>
      </c>
      <c r="N11" s="21">
        <f>IF(N3&lt;=4,Assumptions!$B$16*Assumptions!$C$16*INDEX(Assumptions!$B$24:$E$24,N3),0)*(1+Assumptions!$B$76)</f>
        <v>0</v>
      </c>
      <c r="O11" s="21">
        <f>IF(O3&lt;=4,Assumptions!$B$16*Assumptions!$C$16*INDEX(Assumptions!$B$24:$E$24,O3),0)*(1+Assumptions!$B$76)</f>
        <v>0</v>
      </c>
      <c r="P11" s="21">
        <f>IF(P3&lt;=4,Assumptions!$B$16*Assumptions!$C$16*INDEX(Assumptions!$B$24:$E$24,P3),0)*(1+Assumptions!$B$76)</f>
        <v>0</v>
      </c>
      <c r="Q11" s="21">
        <f>IF(Q3&lt;=4,Assumptions!$B$16*Assumptions!$C$16*INDEX(Assumptions!$B$24:$E$24,Q3),0)*(1+Assumptions!$B$76)</f>
        <v>0</v>
      </c>
      <c r="R11" s="21">
        <f>IF(R3&lt;=4,Assumptions!$B$16*Assumptions!$C$16*INDEX(Assumptions!$B$24:$E$24,R3),0)*(1+Assumptions!$B$76)</f>
        <v>0</v>
      </c>
      <c r="S11" s="21">
        <f>IF(S3&lt;=4,Assumptions!$B$16*Assumptions!$C$16*INDEX(Assumptions!$B$24:$E$24,S3),0)*(1+Assumptions!$B$76)</f>
        <v>0</v>
      </c>
      <c r="T11" s="21">
        <f>IF(T3&lt;=4,Assumptions!$B$16*Assumptions!$C$16*INDEX(Assumptions!$B$24:$E$24,T3),0)*(1+Assumptions!$B$76)</f>
        <v>0</v>
      </c>
      <c r="U11" s="21">
        <f>IF(U3&lt;=4,Assumptions!$B$16*Assumptions!$C$16*INDEX(Assumptions!$B$24:$E$24,U3),0)*(1+Assumptions!$B$76)</f>
        <v>0</v>
      </c>
      <c r="V11" s="21">
        <f>IF(V3&lt;=4,Assumptions!$B$16*Assumptions!$C$16*INDEX(Assumptions!$B$24:$E$24,V3),0)*(1+Assumptions!$B$76)</f>
        <v>0</v>
      </c>
      <c r="W11" s="21">
        <f>IF(W3&lt;=4,Assumptions!$B$16*Assumptions!$C$16*INDEX(Assumptions!$B$24:$E$24,W3),0)*(1+Assumptions!$B$76)</f>
        <v>0</v>
      </c>
      <c r="X11" s="21">
        <f>IF(X3&lt;=4,Assumptions!$B$16*Assumptions!$C$16*INDEX(Assumptions!$B$24:$E$24,X3),0)*(1+Assumptions!$B$76)</f>
        <v>0</v>
      </c>
      <c r="Y11" s="21">
        <f>IF(Y3&lt;=4,Assumptions!$B$16*Assumptions!$C$16*INDEX(Assumptions!$B$24:$E$24,Y3),0)*(1+Assumptions!$B$76)</f>
        <v>0</v>
      </c>
      <c r="Z11" s="21">
        <f>IF(Z3&lt;=4,Assumptions!$B$16*Assumptions!$C$16*INDEX(Assumptions!$B$24:$E$24,Z3),0)*(1+Assumptions!$B$76)</f>
        <v>0</v>
      </c>
      <c r="AA11" s="21">
        <f>IF(AA3&lt;=4,Assumptions!$B$16*Assumptions!$C$16*INDEX(Assumptions!$B$24:$E$24,AA3),0)*(1+Assumptions!$B$76)</f>
        <v>0</v>
      </c>
      <c r="AB11" s="21">
        <f>IF(AB3&lt;=4,Assumptions!$B$16*Assumptions!$C$16*INDEX(Assumptions!$B$24:$E$24,AB3),0)*(1+Assumptions!$B$76)</f>
        <v>0</v>
      </c>
      <c r="AC11" s="21">
        <f>IF(AC3&lt;=4,Assumptions!$B$16*Assumptions!$C$16*INDEX(Assumptions!$B$24:$E$24,AC3),0)*(1+Assumptions!$B$76)</f>
        <v>0</v>
      </c>
      <c r="AD11" s="21">
        <f>IF(AD3&lt;=4,Assumptions!$B$16*Assumptions!$C$16*INDEX(Assumptions!$B$24:$E$24,AD3),0)*(1+Assumptions!$B$76)</f>
        <v>0</v>
      </c>
      <c r="AE11" s="21">
        <f>IF(AE3&lt;=4,Assumptions!$B$16*Assumptions!$C$16*INDEX(Assumptions!$B$24:$E$24,AE3),0)*(1+Assumptions!$B$76)</f>
        <v>0</v>
      </c>
      <c r="AF11" s="21">
        <f>IF(AF3&lt;=4,Assumptions!$B$16*Assumptions!$C$16*INDEX(Assumptions!$B$24:$E$24,AF3),0)*(1+Assumptions!$B$76)</f>
        <v>0</v>
      </c>
      <c r="AG11" s="21">
        <f>IF(AG3&lt;=4,Assumptions!$B$16*Assumptions!$C$16*INDEX(Assumptions!$B$24:$E$24,AG3),0)*(1+Assumptions!$B$76)</f>
        <v>0</v>
      </c>
    </row>
    <row r="12" spans="1:33" ht="15" customHeight="1" x14ac:dyDescent="0.3">
      <c r="A12" s="9" t="s">
        <v>143</v>
      </c>
      <c r="D12" s="21">
        <f>IF(D3&lt;=4,Assumptions!$B$17*Assumptions!$C$17*INDEX(Assumptions!$B$24:$E$24,D3),0)*(1+Assumptions!$B$76)</f>
        <v>3.14</v>
      </c>
      <c r="E12" s="21">
        <f>IF(E3&lt;=4,Assumptions!$B$17*Assumptions!$C$17*INDEX(Assumptions!$B$24:$E$24,E3),0)*(1+Assumptions!$B$76)</f>
        <v>9.42</v>
      </c>
      <c r="F12" s="21">
        <f>IF(F3&lt;=4,Assumptions!$B$17*Assumptions!$C$17*INDEX(Assumptions!$B$24:$E$24,F3),0)*(1+Assumptions!$B$76)</f>
        <v>12.56</v>
      </c>
      <c r="G12" s="21">
        <f>IF(G3&lt;=4,Assumptions!$B$17*Assumptions!$C$17*INDEX(Assumptions!$B$24:$E$24,G3),0)*(1+Assumptions!$B$76)</f>
        <v>6.28</v>
      </c>
      <c r="H12" s="21">
        <f>IF(H3&lt;=4,Assumptions!$B$17*Assumptions!$C$17*INDEX(Assumptions!$B$24:$E$24,H3),0)*(1+Assumptions!$B$76)</f>
        <v>0</v>
      </c>
      <c r="I12" s="21">
        <f>IF(I3&lt;=4,Assumptions!$B$17*Assumptions!$C$17*INDEX(Assumptions!$B$24:$E$24,I3),0)*(1+Assumptions!$B$76)</f>
        <v>0</v>
      </c>
      <c r="J12" s="21">
        <f>IF(J3&lt;=4,Assumptions!$B$17*Assumptions!$C$17*INDEX(Assumptions!$B$24:$E$24,J3),0)*(1+Assumptions!$B$76)</f>
        <v>0</v>
      </c>
      <c r="K12" s="21">
        <f>IF(K3&lt;=4,Assumptions!$B$17*Assumptions!$C$17*INDEX(Assumptions!$B$24:$E$24,K3),0)*(1+Assumptions!$B$76)</f>
        <v>0</v>
      </c>
      <c r="L12" s="21">
        <f>IF(L3&lt;=4,Assumptions!$B$17*Assumptions!$C$17*INDEX(Assumptions!$B$24:$E$24,L3),0)*(1+Assumptions!$B$76)</f>
        <v>0</v>
      </c>
      <c r="M12" s="21">
        <f>IF(M3&lt;=4,Assumptions!$B$17*Assumptions!$C$17*INDEX(Assumptions!$B$24:$E$24,M3),0)*(1+Assumptions!$B$76)</f>
        <v>0</v>
      </c>
      <c r="N12" s="21">
        <f>IF(N3&lt;=4,Assumptions!$B$17*Assumptions!$C$17*INDEX(Assumptions!$B$24:$E$24,N3),0)*(1+Assumptions!$B$76)</f>
        <v>0</v>
      </c>
      <c r="O12" s="21">
        <f>IF(O3&lt;=4,Assumptions!$B$17*Assumptions!$C$17*INDEX(Assumptions!$B$24:$E$24,O3),0)*(1+Assumptions!$B$76)</f>
        <v>0</v>
      </c>
      <c r="P12" s="21">
        <f>IF(P3&lt;=4,Assumptions!$B$17*Assumptions!$C$17*INDEX(Assumptions!$B$24:$E$24,P3),0)*(1+Assumptions!$B$76)</f>
        <v>0</v>
      </c>
      <c r="Q12" s="21">
        <f>IF(Q3&lt;=4,Assumptions!$B$17*Assumptions!$C$17*INDEX(Assumptions!$B$24:$E$24,Q3),0)*(1+Assumptions!$B$76)</f>
        <v>0</v>
      </c>
      <c r="R12" s="21">
        <f>IF(R3&lt;=4,Assumptions!$B$17*Assumptions!$C$17*INDEX(Assumptions!$B$24:$E$24,R3),0)*(1+Assumptions!$B$76)</f>
        <v>0</v>
      </c>
      <c r="S12" s="21">
        <f>IF(S3&lt;=4,Assumptions!$B$17*Assumptions!$C$17*INDEX(Assumptions!$B$24:$E$24,S3),0)*(1+Assumptions!$B$76)</f>
        <v>0</v>
      </c>
      <c r="T12" s="21">
        <f>IF(T3&lt;=4,Assumptions!$B$17*Assumptions!$C$17*INDEX(Assumptions!$B$24:$E$24,T3),0)*(1+Assumptions!$B$76)</f>
        <v>0</v>
      </c>
      <c r="U12" s="21">
        <f>IF(U3&lt;=4,Assumptions!$B$17*Assumptions!$C$17*INDEX(Assumptions!$B$24:$E$24,U3),0)*(1+Assumptions!$B$76)</f>
        <v>0</v>
      </c>
      <c r="V12" s="21">
        <f>IF(V3&lt;=4,Assumptions!$B$17*Assumptions!$C$17*INDEX(Assumptions!$B$24:$E$24,V3),0)*(1+Assumptions!$B$76)</f>
        <v>0</v>
      </c>
      <c r="W12" s="21">
        <f>IF(W3&lt;=4,Assumptions!$B$17*Assumptions!$C$17*INDEX(Assumptions!$B$24:$E$24,W3),0)*(1+Assumptions!$B$76)</f>
        <v>0</v>
      </c>
      <c r="X12" s="21">
        <f>IF(X3&lt;=4,Assumptions!$B$17*Assumptions!$C$17*INDEX(Assumptions!$B$24:$E$24,X3),0)*(1+Assumptions!$B$76)</f>
        <v>0</v>
      </c>
      <c r="Y12" s="21">
        <f>IF(Y3&lt;=4,Assumptions!$B$17*Assumptions!$C$17*INDEX(Assumptions!$B$24:$E$24,Y3),0)*(1+Assumptions!$B$76)</f>
        <v>0</v>
      </c>
      <c r="Z12" s="21">
        <f>IF(Z3&lt;=4,Assumptions!$B$17*Assumptions!$C$17*INDEX(Assumptions!$B$24:$E$24,Z3),0)*(1+Assumptions!$B$76)</f>
        <v>0</v>
      </c>
      <c r="AA12" s="21">
        <f>IF(AA3&lt;=4,Assumptions!$B$17*Assumptions!$C$17*INDEX(Assumptions!$B$24:$E$24,AA3),0)*(1+Assumptions!$B$76)</f>
        <v>0</v>
      </c>
      <c r="AB12" s="21">
        <f>IF(AB3&lt;=4,Assumptions!$B$17*Assumptions!$C$17*INDEX(Assumptions!$B$24:$E$24,AB3),0)*(1+Assumptions!$B$76)</f>
        <v>0</v>
      </c>
      <c r="AC12" s="21">
        <f>IF(AC3&lt;=4,Assumptions!$B$17*Assumptions!$C$17*INDEX(Assumptions!$B$24:$E$24,AC3),0)*(1+Assumptions!$B$76)</f>
        <v>0</v>
      </c>
      <c r="AD12" s="21">
        <f>IF(AD3&lt;=4,Assumptions!$B$17*Assumptions!$C$17*INDEX(Assumptions!$B$24:$E$24,AD3),0)*(1+Assumptions!$B$76)</f>
        <v>0</v>
      </c>
      <c r="AE12" s="21">
        <f>IF(AE3&lt;=4,Assumptions!$B$17*Assumptions!$C$17*INDEX(Assumptions!$B$24:$E$24,AE3),0)*(1+Assumptions!$B$76)</f>
        <v>0</v>
      </c>
      <c r="AF12" s="21">
        <f>IF(AF3&lt;=4,Assumptions!$B$17*Assumptions!$C$17*INDEX(Assumptions!$B$24:$E$24,AF3),0)*(1+Assumptions!$B$76)</f>
        <v>0</v>
      </c>
      <c r="AG12" s="21">
        <f>IF(AG3&lt;=4,Assumptions!$B$17*Assumptions!$C$17*INDEX(Assumptions!$B$24:$E$24,AG3),0)*(1+Assumptions!$B$76)</f>
        <v>0</v>
      </c>
    </row>
    <row r="13" spans="1:33" ht="15" customHeight="1" x14ac:dyDescent="0.3">
      <c r="A13" s="13" t="s">
        <v>144</v>
      </c>
      <c r="D13" s="22">
        <f>'Site Detail'!D74</f>
        <v>18.740000000000002</v>
      </c>
      <c r="E13" s="22">
        <f>'Site Detail'!E74</f>
        <v>45.620000000000005</v>
      </c>
      <c r="F13" s="22">
        <f>'Site Detail'!F74</f>
        <v>53.76</v>
      </c>
      <c r="G13" s="22">
        <f>'Site Detail'!G74</f>
        <v>16.279999999999998</v>
      </c>
      <c r="H13" s="22">
        <f>'Site Detail'!H74</f>
        <v>0</v>
      </c>
      <c r="I13" s="22">
        <f>'Site Detail'!I74</f>
        <v>0</v>
      </c>
      <c r="J13" s="22">
        <f>'Site Detail'!J74</f>
        <v>0</v>
      </c>
      <c r="K13" s="22">
        <f>'Site Detail'!K74</f>
        <v>0</v>
      </c>
      <c r="L13" s="22">
        <f>'Site Detail'!L74</f>
        <v>0</v>
      </c>
      <c r="M13" s="22">
        <f>'Site Detail'!M74</f>
        <v>0</v>
      </c>
      <c r="N13" s="22">
        <f>'Site Detail'!N74</f>
        <v>0</v>
      </c>
      <c r="O13" s="22">
        <f>'Site Detail'!O74</f>
        <v>0</v>
      </c>
      <c r="P13" s="22">
        <f>'Site Detail'!P74</f>
        <v>0</v>
      </c>
      <c r="Q13" s="22">
        <f>'Site Detail'!Q74</f>
        <v>0</v>
      </c>
      <c r="R13" s="22">
        <f>'Site Detail'!R74</f>
        <v>0</v>
      </c>
      <c r="S13" s="22">
        <f>'Site Detail'!S74</f>
        <v>0</v>
      </c>
      <c r="T13" s="22">
        <f>'Site Detail'!T74</f>
        <v>0</v>
      </c>
      <c r="U13" s="22">
        <f>'Site Detail'!U74</f>
        <v>0</v>
      </c>
      <c r="V13" s="22">
        <f>'Site Detail'!V74</f>
        <v>0</v>
      </c>
      <c r="W13" s="22">
        <f>'Site Detail'!W74</f>
        <v>0</v>
      </c>
      <c r="X13" s="22">
        <f>'Site Detail'!X74</f>
        <v>0</v>
      </c>
      <c r="Y13" s="22">
        <f>'Site Detail'!Y74</f>
        <v>0</v>
      </c>
      <c r="Z13" s="22">
        <f>'Site Detail'!Z74</f>
        <v>0</v>
      </c>
      <c r="AA13" s="22">
        <f>'Site Detail'!AA74</f>
        <v>0</v>
      </c>
      <c r="AB13" s="22">
        <f>'Site Detail'!AB74</f>
        <v>0</v>
      </c>
      <c r="AC13" s="22">
        <f>'Site Detail'!AC74</f>
        <v>0</v>
      </c>
      <c r="AD13" s="22">
        <f>'Site Detail'!AD74</f>
        <v>0</v>
      </c>
      <c r="AE13" s="22">
        <f>'Site Detail'!AE74</f>
        <v>0</v>
      </c>
      <c r="AF13" s="22">
        <f>'Site Detail'!AF74</f>
        <v>0</v>
      </c>
      <c r="AG13" s="22">
        <f>'Site Detail'!AG74</f>
        <v>0</v>
      </c>
    </row>
    <row r="14" spans="1:33" ht="15" customHeight="1" x14ac:dyDescent="0.3">
      <c r="A14" s="9" t="s">
        <v>145</v>
      </c>
      <c r="D14" s="21">
        <f>D73*Assumptions!$B$62</f>
        <v>16.722999999999999</v>
      </c>
      <c r="E14" s="21">
        <f>E73*Assumptions!$B$62</f>
        <v>35.539000000000001</v>
      </c>
      <c r="F14" s="21">
        <f>F73*Assumptions!$B$62</f>
        <v>41.236999999999995</v>
      </c>
      <c r="G14" s="21">
        <f>G73*Assumptions!$B$62</f>
        <v>15.000999999999996</v>
      </c>
      <c r="H14" s="21">
        <f>H73*Assumptions!$B$62</f>
        <v>0</v>
      </c>
      <c r="I14" s="21">
        <f>I73*Assumptions!$B$62</f>
        <v>0</v>
      </c>
      <c r="J14" s="21">
        <f>J73*Assumptions!$B$62</f>
        <v>0</v>
      </c>
      <c r="K14" s="21">
        <f>K73*Assumptions!$B$62</f>
        <v>0</v>
      </c>
      <c r="L14" s="21">
        <f>L73*Assumptions!$B$62</f>
        <v>0</v>
      </c>
      <c r="M14" s="21">
        <f>M73*Assumptions!$B$62</f>
        <v>0</v>
      </c>
      <c r="N14" s="21">
        <f>N73*Assumptions!$B$62</f>
        <v>0</v>
      </c>
      <c r="O14" s="21">
        <f>O73*Assumptions!$B$62</f>
        <v>0</v>
      </c>
      <c r="P14" s="21">
        <f>P73*Assumptions!$B$62</f>
        <v>0</v>
      </c>
      <c r="Q14" s="21">
        <f>Q73*Assumptions!$B$62</f>
        <v>0</v>
      </c>
      <c r="R14" s="21">
        <f>R73*Assumptions!$B$62</f>
        <v>0</v>
      </c>
      <c r="S14" s="21">
        <f>S73*Assumptions!$B$62</f>
        <v>0</v>
      </c>
      <c r="T14" s="21">
        <f>T73*Assumptions!$B$62</f>
        <v>0</v>
      </c>
      <c r="U14" s="21">
        <f>U73*Assumptions!$B$62</f>
        <v>0</v>
      </c>
      <c r="V14" s="21">
        <f>V73*Assumptions!$B$62</f>
        <v>0</v>
      </c>
      <c r="W14" s="21">
        <f>W73*Assumptions!$B$62</f>
        <v>0</v>
      </c>
      <c r="X14" s="21">
        <f>X73*Assumptions!$B$62</f>
        <v>0</v>
      </c>
      <c r="Y14" s="21">
        <f>Y73*Assumptions!$B$62</f>
        <v>0</v>
      </c>
      <c r="Z14" s="21">
        <f>Z73*Assumptions!$B$62</f>
        <v>0</v>
      </c>
      <c r="AA14" s="21">
        <f>AA73*Assumptions!$B$62</f>
        <v>0</v>
      </c>
      <c r="AB14" s="21">
        <f>AB73*Assumptions!$B$62</f>
        <v>0</v>
      </c>
      <c r="AC14" s="21">
        <f>AC73*Assumptions!$B$62</f>
        <v>0</v>
      </c>
      <c r="AD14" s="21">
        <f>AD73*Assumptions!$B$62</f>
        <v>0</v>
      </c>
      <c r="AE14" s="21">
        <f>AE73*Assumptions!$B$62</f>
        <v>0</v>
      </c>
      <c r="AF14" s="21">
        <f>AF73*Assumptions!$B$62</f>
        <v>0</v>
      </c>
      <c r="AG14" s="21">
        <f>AG73*Assumptions!$B$62</f>
        <v>0</v>
      </c>
    </row>
    <row r="15" spans="1:33" ht="15" customHeight="1" x14ac:dyDescent="0.3">
      <c r="A15" s="9" t="s">
        <v>146</v>
      </c>
      <c r="D15" s="21">
        <f>D73*Assumptions!$B$61</f>
        <v>7.1669999999999998</v>
      </c>
      <c r="E15" s="21">
        <f>E73*Assumptions!$B$61</f>
        <v>15.231</v>
      </c>
      <c r="F15" s="21">
        <f>F73*Assumptions!$B$61</f>
        <v>17.672999999999998</v>
      </c>
      <c r="G15" s="21">
        <f>G73*Assumptions!$B$61</f>
        <v>6.4289999999999985</v>
      </c>
      <c r="H15" s="21">
        <f>H73*Assumptions!$B$61</f>
        <v>0</v>
      </c>
      <c r="I15" s="21">
        <f>I73*Assumptions!$B$61</f>
        <v>0</v>
      </c>
      <c r="J15" s="21">
        <f>J73*Assumptions!$B$61</f>
        <v>0</v>
      </c>
      <c r="K15" s="21">
        <f>K73*Assumptions!$B$61</f>
        <v>0</v>
      </c>
      <c r="L15" s="21">
        <f>L73*Assumptions!$B$61</f>
        <v>0</v>
      </c>
      <c r="M15" s="21">
        <f>M73*Assumptions!$B$61</f>
        <v>0</v>
      </c>
      <c r="N15" s="21">
        <f>N73*Assumptions!$B$61</f>
        <v>0</v>
      </c>
      <c r="O15" s="21">
        <f>O73*Assumptions!$B$61</f>
        <v>0</v>
      </c>
      <c r="P15" s="21">
        <f>P73*Assumptions!$B$61</f>
        <v>0</v>
      </c>
      <c r="Q15" s="21">
        <f>Q73*Assumptions!$B$61</f>
        <v>0</v>
      </c>
      <c r="R15" s="21">
        <f>R73*Assumptions!$B$61</f>
        <v>0</v>
      </c>
      <c r="S15" s="21">
        <f>S73*Assumptions!$B$61</f>
        <v>0</v>
      </c>
      <c r="T15" s="21">
        <f>T73*Assumptions!$B$61</f>
        <v>0</v>
      </c>
      <c r="U15" s="21">
        <f>U73*Assumptions!$B$61</f>
        <v>0</v>
      </c>
      <c r="V15" s="21">
        <f>V73*Assumptions!$B$61</f>
        <v>0</v>
      </c>
      <c r="W15" s="21">
        <f>W73*Assumptions!$B$61</f>
        <v>0</v>
      </c>
      <c r="X15" s="21">
        <f>X73*Assumptions!$B$61</f>
        <v>0</v>
      </c>
      <c r="Y15" s="21">
        <f>Y73*Assumptions!$B$61</f>
        <v>0</v>
      </c>
      <c r="Z15" s="21">
        <f>Z73*Assumptions!$B$61</f>
        <v>0</v>
      </c>
      <c r="AA15" s="21">
        <f>AA73*Assumptions!$B$61</f>
        <v>0</v>
      </c>
      <c r="AB15" s="21">
        <f>AB73*Assumptions!$B$61</f>
        <v>0</v>
      </c>
      <c r="AC15" s="21">
        <f>AC73*Assumptions!$B$61</f>
        <v>0</v>
      </c>
      <c r="AD15" s="21">
        <f>AD73*Assumptions!$B$61</f>
        <v>0</v>
      </c>
      <c r="AE15" s="21">
        <f>AE73*Assumptions!$B$61</f>
        <v>0</v>
      </c>
      <c r="AF15" s="21">
        <f>AF73*Assumptions!$B$61</f>
        <v>0</v>
      </c>
      <c r="AG15" s="21">
        <f>AG73*Assumptions!$B$61</f>
        <v>0</v>
      </c>
    </row>
    <row r="17" spans="1:33" ht="15" customHeight="1" x14ac:dyDescent="0.3">
      <c r="A17" s="51" t="s">
        <v>359</v>
      </c>
      <c r="B17" s="51"/>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row>
    <row r="19" spans="1:33" ht="15" customHeight="1" x14ac:dyDescent="0.3">
      <c r="A19" s="9" t="s">
        <v>147</v>
      </c>
      <c r="D19" s="21">
        <v>0</v>
      </c>
      <c r="E19" s="21">
        <f t="shared" ref="E19:AG19" si="0">D25</f>
        <v>17.323236249999997</v>
      </c>
      <c r="F19" s="21">
        <f t="shared" si="0"/>
        <v>55.381393387946424</v>
      </c>
      <c r="G19" s="21">
        <f t="shared" si="0"/>
        <v>102.07410002043828</v>
      </c>
      <c r="H19" s="21">
        <f t="shared" si="0"/>
        <v>124.94099095047687</v>
      </c>
      <c r="I19" s="21">
        <f t="shared" si="0"/>
        <v>122.44680150541473</v>
      </c>
      <c r="J19" s="21">
        <f t="shared" si="0"/>
        <v>119.7735648894749</v>
      </c>
      <c r="K19" s="21">
        <f t="shared" si="0"/>
        <v>116.90842807360511</v>
      </c>
      <c r="L19" s="21">
        <f t="shared" si="0"/>
        <v>113.83761536488181</v>
      </c>
      <c r="M19" s="21">
        <f t="shared" si="0"/>
        <v>110.54636217242516</v>
      </c>
      <c r="N19" s="21">
        <f t="shared" si="0"/>
        <v>107.01884401865287</v>
      </c>
      <c r="O19" s="21">
        <f t="shared" si="0"/>
        <v>103.23810045455622</v>
      </c>
      <c r="P19" s="21">
        <f t="shared" si="0"/>
        <v>99.185953513179768</v>
      </c>
      <c r="Q19" s="21">
        <f t="shared" si="0"/>
        <v>94.842920309225931</v>
      </c>
      <c r="R19" s="21">
        <f t="shared" si="0"/>
        <v>90.188119364559697</v>
      </c>
      <c r="S19" s="21">
        <f t="shared" si="0"/>
        <v>85.199170209222785</v>
      </c>
      <c r="T19" s="21">
        <f t="shared" si="0"/>
        <v>79.852085775234897</v>
      </c>
      <c r="U19" s="21">
        <f t="shared" si="0"/>
        <v>74.121157065807168</v>
      </c>
      <c r="V19" s="21">
        <f t="shared" si="0"/>
        <v>67.978829545452655</v>
      </c>
      <c r="W19" s="21">
        <f t="shared" si="0"/>
        <v>61.395570656672696</v>
      </c>
      <c r="X19" s="21">
        <f t="shared" si="0"/>
        <v>54.33972782623389</v>
      </c>
      <c r="Y19" s="21">
        <f t="shared" si="0"/>
        <v>46.777376278324297</v>
      </c>
      <c r="Z19" s="21">
        <f t="shared" si="0"/>
        <v>38.672155922868342</v>
      </c>
      <c r="AA19" s="21">
        <f t="shared" si="0"/>
        <v>29.985096534752866</v>
      </c>
      <c r="AB19" s="21">
        <f t="shared" si="0"/>
        <v>20.6744303834191</v>
      </c>
      <c r="AC19" s="21">
        <f t="shared" si="0"/>
        <v>10.695391411936018</v>
      </c>
      <c r="AD19" s="21">
        <f t="shared" si="0"/>
        <v>4.2632564145606011E-14</v>
      </c>
      <c r="AE19" s="21">
        <f t="shared" si="0"/>
        <v>4.5692973214629874E-14</v>
      </c>
      <c r="AF19" s="21">
        <f t="shared" si="0"/>
        <v>4.8973075934680089E-14</v>
      </c>
      <c r="AG19" s="21">
        <f t="shared" si="0"/>
        <v>5.2488643171419623E-14</v>
      </c>
    </row>
    <row r="20" spans="1:33" ht="15" customHeight="1" x14ac:dyDescent="0.3">
      <c r="A20" s="9" t="s">
        <v>148</v>
      </c>
      <c r="D20" s="21">
        <f t="shared" ref="D20:AG20" si="1">D14</f>
        <v>16.722999999999999</v>
      </c>
      <c r="E20" s="21">
        <f t="shared" si="1"/>
        <v>35.539000000000001</v>
      </c>
      <c r="F20" s="21">
        <f t="shared" si="1"/>
        <v>41.236999999999995</v>
      </c>
      <c r="G20" s="21">
        <f t="shared" si="1"/>
        <v>15.000999999999996</v>
      </c>
      <c r="H20" s="21">
        <f t="shared" si="1"/>
        <v>0</v>
      </c>
      <c r="I20" s="21">
        <f t="shared" si="1"/>
        <v>0</v>
      </c>
      <c r="J20" s="21">
        <f t="shared" si="1"/>
        <v>0</v>
      </c>
      <c r="K20" s="21">
        <f t="shared" si="1"/>
        <v>0</v>
      </c>
      <c r="L20" s="21">
        <f t="shared" si="1"/>
        <v>0</v>
      </c>
      <c r="M20" s="21">
        <f t="shared" si="1"/>
        <v>0</v>
      </c>
      <c r="N20" s="21">
        <f t="shared" si="1"/>
        <v>0</v>
      </c>
      <c r="O20" s="21">
        <f t="shared" si="1"/>
        <v>0</v>
      </c>
      <c r="P20" s="21">
        <f t="shared" si="1"/>
        <v>0</v>
      </c>
      <c r="Q20" s="21">
        <f t="shared" si="1"/>
        <v>0</v>
      </c>
      <c r="R20" s="21">
        <f t="shared" si="1"/>
        <v>0</v>
      </c>
      <c r="S20" s="21">
        <f t="shared" si="1"/>
        <v>0</v>
      </c>
      <c r="T20" s="21">
        <f t="shared" si="1"/>
        <v>0</v>
      </c>
      <c r="U20" s="21">
        <f t="shared" si="1"/>
        <v>0</v>
      </c>
      <c r="V20" s="21">
        <f t="shared" si="1"/>
        <v>0</v>
      </c>
      <c r="W20" s="21">
        <f t="shared" si="1"/>
        <v>0</v>
      </c>
      <c r="X20" s="21">
        <f t="shared" si="1"/>
        <v>0</v>
      </c>
      <c r="Y20" s="21">
        <f t="shared" si="1"/>
        <v>0</v>
      </c>
      <c r="Z20" s="21">
        <f t="shared" si="1"/>
        <v>0</v>
      </c>
      <c r="AA20" s="21">
        <f t="shared" si="1"/>
        <v>0</v>
      </c>
      <c r="AB20" s="21">
        <f t="shared" si="1"/>
        <v>0</v>
      </c>
      <c r="AC20" s="21">
        <f t="shared" si="1"/>
        <v>0</v>
      </c>
      <c r="AD20" s="21">
        <f t="shared" si="1"/>
        <v>0</v>
      </c>
      <c r="AE20" s="21">
        <f t="shared" si="1"/>
        <v>0</v>
      </c>
      <c r="AF20" s="21">
        <f t="shared" si="1"/>
        <v>0</v>
      </c>
      <c r="AG20" s="21">
        <f t="shared" si="1"/>
        <v>0</v>
      </c>
    </row>
    <row r="21" spans="1:33" ht="15" customHeight="1" x14ac:dyDescent="0.3">
      <c r="A21" s="9" t="s">
        <v>149</v>
      </c>
      <c r="D21" s="21">
        <f>(D19+D20/2)*(Assumptions!$B$63+Assumptions!$B$77/10000)</f>
        <v>0.60023624999999992</v>
      </c>
      <c r="E21" s="21">
        <f>(E19+E20/2)*(Assumptions!$B$63+Assumptions!$B$77/10000)</f>
        <v>2.5191571379464288</v>
      </c>
      <c r="F21" s="21">
        <f>(F19+F20/2)*(Assumptions!$B$63+Assumptions!$B$77/10000)</f>
        <v>5.4557066324918688</v>
      </c>
      <c r="G21" s="21">
        <f>(G19+G20/2)*(Assumptions!$B$63+Assumptions!$B$77/10000)</f>
        <v>7.8658909300386055</v>
      </c>
      <c r="H21" s="21">
        <f>(H19+H20/2)*(Assumptions!$B$63+Assumptions!$B$77/10000)</f>
        <v>8.968978278944947</v>
      </c>
      <c r="I21" s="21">
        <f>(I19+I20/2)*(Assumptions!$B$63+Assumptions!$B$77/10000)</f>
        <v>8.7899311080672717</v>
      </c>
      <c r="J21" s="21">
        <f>(J19+J20/2)*(Assumptions!$B$63+Assumptions!$B$77/10000)</f>
        <v>8.5980309081373054</v>
      </c>
      <c r="K21" s="21">
        <f>(K19+K20/2)*(Assumptions!$B$63+Assumptions!$B$77/10000)</f>
        <v>8.3923550152837958</v>
      </c>
      <c r="L21" s="21">
        <f>(L19+L20/2)*(Assumptions!$B$63+Assumptions!$B$77/10000)</f>
        <v>8.1719145315504438</v>
      </c>
      <c r="M21" s="21">
        <f>(M19+M20/2)*(Assumptions!$B$63+Assumptions!$B$77/10000)</f>
        <v>7.9356495702348067</v>
      </c>
      <c r="N21" s="21">
        <f>(N19+N20/2)*(Assumptions!$B$63+Assumptions!$B$77/10000)</f>
        <v>7.6824241599104379</v>
      </c>
      <c r="O21" s="21">
        <f>(O19+O20/2)*(Assumptions!$B$63+Assumptions!$B$77/10000)</f>
        <v>7.4110207826306427</v>
      </c>
      <c r="P21" s="21">
        <f>(P19+P20/2)*(Assumptions!$B$63+Assumptions!$B$77/10000)</f>
        <v>7.120134520053262</v>
      </c>
      <c r="Q21" s="21">
        <f>(Q19+Q20/2)*(Assumptions!$B$63+Assumptions!$B$77/10000)</f>
        <v>6.8083667793408615</v>
      </c>
      <c r="R21" s="21">
        <f>(R19+R20/2)*(Assumptions!$B$63+Assumptions!$B$77/10000)</f>
        <v>6.4742185686701781</v>
      </c>
      <c r="S21" s="21">
        <f>(S19+S20/2)*(Assumptions!$B$63+Assumptions!$B$77/10000)</f>
        <v>6.1160832900192075</v>
      </c>
      <c r="T21" s="21">
        <f>(T19+T20/2)*(Assumptions!$B$63+Assumptions!$B$77/10000)</f>
        <v>5.7322390145793625</v>
      </c>
      <c r="U21" s="21">
        <f>(U19+U20/2)*(Assumptions!$B$63+Assumptions!$B$77/10000)</f>
        <v>5.3208402036525859</v>
      </c>
      <c r="V21" s="21">
        <f>(V19+V20/2)*(Assumptions!$B$63+Assumptions!$B$77/10000)</f>
        <v>4.8799088352271367</v>
      </c>
      <c r="W21" s="21">
        <f>(W19+W20/2)*(Assumptions!$B$63+Assumptions!$B$77/10000)</f>
        <v>4.4073248935682896</v>
      </c>
      <c r="X21" s="21">
        <f>(X19+X20/2)*(Assumptions!$B$63+Assumptions!$B$77/10000)</f>
        <v>3.9008161760975044</v>
      </c>
      <c r="Y21" s="21">
        <f>(Y19+Y20/2)*(Assumptions!$B$63+Assumptions!$B$77/10000)</f>
        <v>3.357947368551137</v>
      </c>
      <c r="Z21" s="21">
        <f>(Z19+Z20/2)*(Assumptions!$B$63+Assumptions!$B$77/10000)</f>
        <v>2.7761083358916201</v>
      </c>
      <c r="AA21" s="21">
        <f>(AA19+AA20/2)*(Assumptions!$B$63+Assumptions!$B$77/10000)</f>
        <v>2.152501572673331</v>
      </c>
      <c r="AB21" s="21">
        <f>(AB19+AB20/2)*(Assumptions!$B$63+Assumptions!$B$77/10000)</f>
        <v>1.4841287525240139</v>
      </c>
      <c r="AC21" s="21">
        <f>(AC19+AC20/2)*(Assumptions!$B$63+Assumptions!$B$77/10000)</f>
        <v>0.76777631207112129</v>
      </c>
      <c r="AD21" s="21">
        <f>(AD19+AD20/2)*(Assumptions!$B$63+Assumptions!$B$77/10000)</f>
        <v>3.0604090690238601E-15</v>
      </c>
      <c r="AE21" s="21">
        <f>(AE19+AE20/2)*(Assumptions!$B$63+Assumptions!$B$77/10000)</f>
        <v>3.2801027200502158E-15</v>
      </c>
      <c r="AF21" s="21">
        <f>(AF19+AF20/2)*(Assumptions!$B$63+Assumptions!$B$77/10000)</f>
        <v>3.5155672367395351E-15</v>
      </c>
      <c r="AG21" s="21">
        <f>(AG19+AG20/2)*(Assumptions!$B$63+Assumptions!$B$77/10000)</f>
        <v>3.767934741948337E-15</v>
      </c>
    </row>
    <row r="22" spans="1:33" ht="15" customHeight="1" x14ac:dyDescent="0.3">
      <c r="A22" s="9" t="s">
        <v>150</v>
      </c>
      <c r="D22" s="21">
        <f>IF(D3&lt;=Assumptions!$B$65,D21,0)</f>
        <v>0.60023624999999992</v>
      </c>
      <c r="E22" s="21">
        <f>IF(E3&lt;=Assumptions!$B$65,E21,0)</f>
        <v>2.5191571379464288</v>
      </c>
      <c r="F22" s="21">
        <f>IF(F3&lt;=Assumptions!$B$65,F21,0)</f>
        <v>5.4557066324918688</v>
      </c>
      <c r="G22" s="21">
        <f>IF(G3&lt;=Assumptions!$B$65,G21,0)</f>
        <v>7.8658909300386055</v>
      </c>
      <c r="H22" s="21">
        <f>IF(H3&lt;=Assumptions!$B$65,H21,0)</f>
        <v>0</v>
      </c>
      <c r="I22" s="21">
        <f>IF(I3&lt;=Assumptions!$B$65,I21,0)</f>
        <v>0</v>
      </c>
      <c r="J22" s="21">
        <f>IF(J3&lt;=Assumptions!$B$65,J21,0)</f>
        <v>0</v>
      </c>
      <c r="K22" s="21">
        <f>IF(K3&lt;=Assumptions!$B$65,K21,0)</f>
        <v>0</v>
      </c>
      <c r="L22" s="21">
        <f>IF(L3&lt;=Assumptions!$B$65,L21,0)</f>
        <v>0</v>
      </c>
      <c r="M22" s="21">
        <f>IF(M3&lt;=Assumptions!$B$65,M21,0)</f>
        <v>0</v>
      </c>
      <c r="N22" s="21">
        <f>IF(N3&lt;=Assumptions!$B$65,N21,0)</f>
        <v>0</v>
      </c>
      <c r="O22" s="21">
        <f>IF(O3&lt;=Assumptions!$B$65,O21,0)</f>
        <v>0</v>
      </c>
      <c r="P22" s="21">
        <f>IF(P3&lt;=Assumptions!$B$65,P21,0)</f>
        <v>0</v>
      </c>
      <c r="Q22" s="21">
        <f>IF(Q3&lt;=Assumptions!$B$65,Q21,0)</f>
        <v>0</v>
      </c>
      <c r="R22" s="21">
        <f>IF(R3&lt;=Assumptions!$B$65,R21,0)</f>
        <v>0</v>
      </c>
      <c r="S22" s="21">
        <f>IF(S3&lt;=Assumptions!$B$65,S21,0)</f>
        <v>0</v>
      </c>
      <c r="T22" s="21">
        <f>IF(T3&lt;=Assumptions!$B$65,T21,0)</f>
        <v>0</v>
      </c>
      <c r="U22" s="21">
        <f>IF(U3&lt;=Assumptions!$B$65,U21,0)</f>
        <v>0</v>
      </c>
      <c r="V22" s="21">
        <f>IF(V3&lt;=Assumptions!$B$65,V21,0)</f>
        <v>0</v>
      </c>
      <c r="W22" s="21">
        <f>IF(W3&lt;=Assumptions!$B$65,W21,0)</f>
        <v>0</v>
      </c>
      <c r="X22" s="21">
        <f>IF(X3&lt;=Assumptions!$B$65,X21,0)</f>
        <v>0</v>
      </c>
      <c r="Y22" s="21">
        <f>IF(Y3&lt;=Assumptions!$B$65,Y21,0)</f>
        <v>0</v>
      </c>
      <c r="Z22" s="21">
        <f>IF(Z3&lt;=Assumptions!$B$65,Z21,0)</f>
        <v>0</v>
      </c>
      <c r="AA22" s="21">
        <f>IF(AA3&lt;=Assumptions!$B$65,AA21,0)</f>
        <v>0</v>
      </c>
      <c r="AB22" s="21">
        <f>IF(AB3&lt;=Assumptions!$B$65,AB21,0)</f>
        <v>0</v>
      </c>
      <c r="AC22" s="21">
        <f>IF(AC3&lt;=Assumptions!$B$65,AC21,0)</f>
        <v>0</v>
      </c>
      <c r="AD22" s="21">
        <f>IF(AD3&lt;=Assumptions!$B$65,AD21,0)</f>
        <v>0</v>
      </c>
      <c r="AE22" s="21">
        <f>IF(AE3&lt;=Assumptions!$B$65,AE21,0)</f>
        <v>0</v>
      </c>
      <c r="AF22" s="21">
        <f>IF(AF3&lt;=Assumptions!$B$65,AF21,0)</f>
        <v>0</v>
      </c>
      <c r="AG22" s="21">
        <f>IF(AG3&lt;=Assumptions!$B$65,AG21,0)</f>
        <v>0</v>
      </c>
    </row>
    <row r="23" spans="1:33" ht="15" customHeight="1" x14ac:dyDescent="0.3">
      <c r="A23" s="9" t="s">
        <v>151</v>
      </c>
      <c r="D23" s="21">
        <f>IF(AND(D3&gt;Assumptions!$B$65,D3&lt;=Assumptions!$B$65+Assumptions!$B$64),-PMT((Assumptions!$B$63+Assumptions!$B$77/10000),Assumptions!$B$64,G25),0)</f>
        <v>0</v>
      </c>
      <c r="E23" s="21">
        <f>IF(AND(E3&gt;Assumptions!$B$65,E3&lt;=Assumptions!$B$65+Assumptions!$B$64),-PMT((Assumptions!$B$63+Assumptions!$B$77/10000),Assumptions!$B$64,G25),0)</f>
        <v>0</v>
      </c>
      <c r="F23" s="21">
        <f>IF(AND(F3&gt;Assumptions!$B$65,F3&lt;=Assumptions!$B$65+Assumptions!$B$64),-PMT((Assumptions!$B$63+Assumptions!$B$77/10000),Assumptions!$B$64,G25),0)</f>
        <v>0</v>
      </c>
      <c r="G23" s="21">
        <f>IF(AND(G3&gt;Assumptions!$B$65,G3&lt;=Assumptions!$B$65+Assumptions!$B$64),-PMT((Assumptions!$B$63+Assumptions!$B$77/10000),Assumptions!$B$64,G25),0)</f>
        <v>0</v>
      </c>
      <c r="H23" s="21">
        <f>IF(AND(H3&gt;Assumptions!$B$65,H3&lt;=Assumptions!$B$65+Assumptions!$B$64),-PMT((Assumptions!$B$63+Assumptions!$B$77/10000),Assumptions!$B$64,G25),0)</f>
        <v>11.463167724007096</v>
      </c>
      <c r="I23" s="21">
        <f>IF(AND(I3&gt;Assumptions!$B$65,I3&lt;=Assumptions!$B$65+Assumptions!$B$64),-PMT((Assumptions!$B$63+Assumptions!$B$77/10000),Assumptions!$B$64,G25),0)</f>
        <v>11.463167724007096</v>
      </c>
      <c r="J23" s="21">
        <f>IF(AND(J3&gt;Assumptions!$B$65,J3&lt;=Assumptions!$B$65+Assumptions!$B$64),-PMT((Assumptions!$B$63+Assumptions!$B$77/10000),Assumptions!$B$64,G25),0)</f>
        <v>11.463167724007096</v>
      </c>
      <c r="K23" s="21">
        <f>IF(AND(K3&gt;Assumptions!$B$65,K3&lt;=Assumptions!$B$65+Assumptions!$B$64),-PMT((Assumptions!$B$63+Assumptions!$B$77/10000),Assumptions!$B$64,G25),0)</f>
        <v>11.463167724007096</v>
      </c>
      <c r="L23" s="21">
        <f>IF(AND(L3&gt;Assumptions!$B$65,L3&lt;=Assumptions!$B$65+Assumptions!$B$64),-PMT((Assumptions!$B$63+Assumptions!$B$77/10000),Assumptions!$B$64,G25),0)</f>
        <v>11.463167724007096</v>
      </c>
      <c r="M23" s="21">
        <f>IF(AND(M3&gt;Assumptions!$B$65,M3&lt;=Assumptions!$B$65+Assumptions!$B$64),-PMT((Assumptions!$B$63+Assumptions!$B$77/10000),Assumptions!$B$64,G25),0)</f>
        <v>11.463167724007096</v>
      </c>
      <c r="N23" s="21">
        <f>IF(AND(N3&gt;Assumptions!$B$65,N3&lt;=Assumptions!$B$65+Assumptions!$B$64),-PMT((Assumptions!$B$63+Assumptions!$B$77/10000),Assumptions!$B$64,G25),0)</f>
        <v>11.463167724007096</v>
      </c>
      <c r="O23" s="21">
        <f>IF(AND(O3&gt;Assumptions!$B$65,O3&lt;=Assumptions!$B$65+Assumptions!$B$64),-PMT((Assumptions!$B$63+Assumptions!$B$77/10000),Assumptions!$B$64,G25),0)</f>
        <v>11.463167724007096</v>
      </c>
      <c r="P23" s="21">
        <f>IF(AND(P3&gt;Assumptions!$B$65,P3&lt;=Assumptions!$B$65+Assumptions!$B$64),-PMT((Assumptions!$B$63+Assumptions!$B$77/10000),Assumptions!$B$64,G25),0)</f>
        <v>11.463167724007096</v>
      </c>
      <c r="Q23" s="21">
        <f>IF(AND(Q3&gt;Assumptions!$B$65,Q3&lt;=Assumptions!$B$65+Assumptions!$B$64),-PMT((Assumptions!$B$63+Assumptions!$B$77/10000),Assumptions!$B$64,G25),0)</f>
        <v>11.463167724007096</v>
      </c>
      <c r="R23" s="21">
        <f>IF(AND(R3&gt;Assumptions!$B$65,R3&lt;=Assumptions!$B$65+Assumptions!$B$64),-PMT((Assumptions!$B$63+Assumptions!$B$77/10000),Assumptions!$B$64,G25),0)</f>
        <v>11.463167724007096</v>
      </c>
      <c r="S23" s="21">
        <f>IF(AND(S3&gt;Assumptions!$B$65,S3&lt;=Assumptions!$B$65+Assumptions!$B$64),-PMT((Assumptions!$B$63+Assumptions!$B$77/10000),Assumptions!$B$64,G25),0)</f>
        <v>11.463167724007096</v>
      </c>
      <c r="T23" s="21">
        <f>IF(AND(T3&gt;Assumptions!$B$65,T3&lt;=Assumptions!$B$65+Assumptions!$B$64),-PMT((Assumptions!$B$63+Assumptions!$B$77/10000),Assumptions!$B$64,G25),0)</f>
        <v>11.463167724007096</v>
      </c>
      <c r="U23" s="21">
        <f>IF(AND(U3&gt;Assumptions!$B$65,U3&lt;=Assumptions!$B$65+Assumptions!$B$64),-PMT((Assumptions!$B$63+Assumptions!$B$77/10000),Assumptions!$B$64,G25),0)</f>
        <v>11.463167724007096</v>
      </c>
      <c r="V23" s="21">
        <f>IF(AND(V3&gt;Assumptions!$B$65,V3&lt;=Assumptions!$B$65+Assumptions!$B$64),-PMT((Assumptions!$B$63+Assumptions!$B$77/10000),Assumptions!$B$64,G25),0)</f>
        <v>11.463167724007096</v>
      </c>
      <c r="W23" s="21">
        <f>IF(AND(W3&gt;Assumptions!$B$65,W3&lt;=Assumptions!$B$65+Assumptions!$B$64),-PMT((Assumptions!$B$63+Assumptions!$B$77/10000),Assumptions!$B$64,G25),0)</f>
        <v>11.463167724007096</v>
      </c>
      <c r="X23" s="21">
        <f>IF(AND(X3&gt;Assumptions!$B$65,X3&lt;=Assumptions!$B$65+Assumptions!$B$64),-PMT((Assumptions!$B$63+Assumptions!$B$77/10000),Assumptions!$B$64,G25),0)</f>
        <v>11.463167724007096</v>
      </c>
      <c r="Y23" s="21">
        <f>IF(AND(Y3&gt;Assumptions!$B$65,Y3&lt;=Assumptions!$B$65+Assumptions!$B$64),-PMT((Assumptions!$B$63+Assumptions!$B$77/10000),Assumptions!$B$64,G25),0)</f>
        <v>11.463167724007096</v>
      </c>
      <c r="Z23" s="21">
        <f>IF(AND(Z3&gt;Assumptions!$B$65,Z3&lt;=Assumptions!$B$65+Assumptions!$B$64),-PMT((Assumptions!$B$63+Assumptions!$B$77/10000),Assumptions!$B$64,G25),0)</f>
        <v>11.463167724007096</v>
      </c>
      <c r="AA23" s="21">
        <f>IF(AND(AA3&gt;Assumptions!$B$65,AA3&lt;=Assumptions!$B$65+Assumptions!$B$64),-PMT((Assumptions!$B$63+Assumptions!$B$77/10000),Assumptions!$B$64,G25),0)</f>
        <v>11.463167724007096</v>
      </c>
      <c r="AB23" s="21">
        <f>IF(AND(AB3&gt;Assumptions!$B$65,AB3&lt;=Assumptions!$B$65+Assumptions!$B$64),-PMT((Assumptions!$B$63+Assumptions!$B$77/10000),Assumptions!$B$64,G25),0)</f>
        <v>11.463167724007096</v>
      </c>
      <c r="AC23" s="21">
        <f>IF(AND(AC3&gt;Assumptions!$B$65,AC3&lt;=Assumptions!$B$65+Assumptions!$B$64),-PMT((Assumptions!$B$63+Assumptions!$B$77/10000),Assumptions!$B$64,G25),0)</f>
        <v>11.463167724007096</v>
      </c>
      <c r="AD23" s="21">
        <f>IF(AND(AD3&gt;Assumptions!$B$65,AD3&lt;=Assumptions!$B$65+Assumptions!$B$64),-PMT((Assumptions!$B$63+Assumptions!$B$77/10000),Assumptions!$B$64,G25),0)</f>
        <v>0</v>
      </c>
      <c r="AE23" s="21">
        <f>IF(AND(AE3&gt;Assumptions!$B$65,AE3&lt;=Assumptions!$B$65+Assumptions!$B$64),-PMT((Assumptions!$B$63+Assumptions!$B$77/10000),Assumptions!$B$64,G25),0)</f>
        <v>0</v>
      </c>
      <c r="AF23" s="21">
        <f>IF(AND(AF3&gt;Assumptions!$B$65,AF3&lt;=Assumptions!$B$65+Assumptions!$B$64),-PMT((Assumptions!$B$63+Assumptions!$B$77/10000),Assumptions!$B$64,G25),0)</f>
        <v>0</v>
      </c>
      <c r="AG23" s="21">
        <f>IF(AND(AG3&gt;Assumptions!$B$65,AG3&lt;=Assumptions!$B$65+Assumptions!$B$64),-PMT((Assumptions!$B$63+Assumptions!$B$77/10000),Assumptions!$B$64,G25),0)</f>
        <v>0</v>
      </c>
    </row>
    <row r="24" spans="1:33" ht="15" customHeight="1" x14ac:dyDescent="0.3">
      <c r="A24" s="9" t="s">
        <v>152</v>
      </c>
      <c r="D24" s="21">
        <f>IF(D3&gt;Assumptions!$B$65,MIN(D19,D23-D21),0)</f>
        <v>0</v>
      </c>
      <c r="E24" s="21">
        <f>IF(E3&gt;Assumptions!$B$65,MIN(E19,E23-E21),0)</f>
        <v>0</v>
      </c>
      <c r="F24" s="21">
        <f>IF(F3&gt;Assumptions!$B$65,MIN(F19,F23-F21),0)</f>
        <v>0</v>
      </c>
      <c r="G24" s="21">
        <f>IF(G3&gt;Assumptions!$B$65,MIN(G19,G23-G21),0)</f>
        <v>0</v>
      </c>
      <c r="H24" s="21">
        <f>IF(H3&gt;Assumptions!$B$65,MIN(H19,H23-H21),0)</f>
        <v>2.4941894450621493</v>
      </c>
      <c r="I24" s="21">
        <f>IF(I3&gt;Assumptions!$B$65,MIN(I19,I23-I21),0)</f>
        <v>2.6732366159398246</v>
      </c>
      <c r="J24" s="21">
        <f>IF(J3&gt;Assumptions!$B$65,MIN(J19,J23-J21),0)</f>
        <v>2.865136815869791</v>
      </c>
      <c r="K24" s="21">
        <f>IF(K3&gt;Assumptions!$B$65,MIN(K19,K23-K21),0)</f>
        <v>3.0708127087233006</v>
      </c>
      <c r="L24" s="21">
        <f>IF(L3&gt;Assumptions!$B$65,MIN(L19,L23-L21),0)</f>
        <v>3.2912531924566526</v>
      </c>
      <c r="M24" s="21">
        <f>IF(M3&gt;Assumptions!$B$65,MIN(M19,M23-M21),0)</f>
        <v>3.5275181537722897</v>
      </c>
      <c r="N24" s="21">
        <f>IF(N3&gt;Assumptions!$B$65,MIN(N19,N23-N21),0)</f>
        <v>3.7807435640966585</v>
      </c>
      <c r="O24" s="21">
        <f>IF(O3&gt;Assumptions!$B$65,MIN(O19,O23-O21),0)</f>
        <v>4.0521469413764537</v>
      </c>
      <c r="P24" s="21">
        <f>IF(P3&gt;Assumptions!$B$65,MIN(P19,P23-P21),0)</f>
        <v>4.3430332039538344</v>
      </c>
      <c r="Q24" s="21">
        <f>IF(Q3&gt;Assumptions!$B$65,MIN(Q19,Q23-Q21),0)</f>
        <v>4.6548009446662348</v>
      </c>
      <c r="R24" s="21">
        <f>IF(R3&gt;Assumptions!$B$65,MIN(R19,R23-R21),0)</f>
        <v>4.9889491553369183</v>
      </c>
      <c r="S24" s="21">
        <f>IF(S3&gt;Assumptions!$B$65,MIN(S19,S23-S21),0)</f>
        <v>5.3470844339878889</v>
      </c>
      <c r="T24" s="21">
        <f>IF(T3&gt;Assumptions!$B$65,MIN(T19,T23-T21),0)</f>
        <v>5.7309287094277339</v>
      </c>
      <c r="U24" s="21">
        <f>IF(U3&gt;Assumptions!$B$65,MIN(U19,U23-U21),0)</f>
        <v>6.1423275203545105</v>
      </c>
      <c r="V24" s="21">
        <f>IF(V3&gt;Assumptions!$B$65,MIN(V19,V23-V21),0)</f>
        <v>6.5832588887799597</v>
      </c>
      <c r="W24" s="21">
        <f>IF(W3&gt;Assumptions!$B$65,MIN(W19,W23-W21),0)</f>
        <v>7.0558428304388068</v>
      </c>
      <c r="X24" s="21">
        <f>IF(X3&gt;Assumptions!$B$65,MIN(X19,X23-X21),0)</f>
        <v>7.562351547909592</v>
      </c>
      <c r="Y24" s="21">
        <f>IF(Y3&gt;Assumptions!$B$65,MIN(Y19,Y23-Y21),0)</f>
        <v>8.105220355455959</v>
      </c>
      <c r="Z24" s="21">
        <f>IF(Z3&gt;Assumptions!$B$65,MIN(Z19,Z23-Z21),0)</f>
        <v>8.6870593881154754</v>
      </c>
      <c r="AA24" s="21">
        <f>IF(AA3&gt;Assumptions!$B$65,MIN(AA19,AA23-AA21),0)</f>
        <v>9.3106661513337663</v>
      </c>
      <c r="AB24" s="21">
        <f>IF(AB3&gt;Assumptions!$B$65,MIN(AB19,AB23-AB21),0)</f>
        <v>9.9790389714830816</v>
      </c>
      <c r="AC24" s="21">
        <f>IF(AC3&gt;Assumptions!$B$65,MIN(AC19,AC23-AC21),0)</f>
        <v>10.695391411935976</v>
      </c>
      <c r="AD24" s="21">
        <f>IF(AD3&gt;Assumptions!$B$65,MIN(AD19,AD23-AD21),0)</f>
        <v>-3.0604090690238601E-15</v>
      </c>
      <c r="AE24" s="21">
        <f>IF(AE3&gt;Assumptions!$B$65,MIN(AE19,AE23-AE21),0)</f>
        <v>-3.2801027200502158E-15</v>
      </c>
      <c r="AF24" s="21">
        <f>IF(AF3&gt;Assumptions!$B$65,MIN(AF19,AF23-AF21),0)</f>
        <v>-3.5155672367395351E-15</v>
      </c>
      <c r="AG24" s="21">
        <f>IF(AG3&gt;Assumptions!$B$65,MIN(AG19,AG23-AG21),0)</f>
        <v>-3.767934741948337E-15</v>
      </c>
    </row>
    <row r="25" spans="1:33" ht="15" customHeight="1" x14ac:dyDescent="0.3">
      <c r="A25" s="13" t="s">
        <v>153</v>
      </c>
      <c r="D25" s="22">
        <f t="shared" ref="D25:AG25" si="2">MAX(0,D19+D20+D22-D24)</f>
        <v>17.323236249999997</v>
      </c>
      <c r="E25" s="22">
        <f t="shared" si="2"/>
        <v>55.381393387946424</v>
      </c>
      <c r="F25" s="22">
        <f t="shared" si="2"/>
        <v>102.07410002043828</v>
      </c>
      <c r="G25" s="22">
        <f t="shared" si="2"/>
        <v>124.94099095047687</v>
      </c>
      <c r="H25" s="22">
        <f t="shared" si="2"/>
        <v>122.44680150541473</v>
      </c>
      <c r="I25" s="22">
        <f t="shared" si="2"/>
        <v>119.7735648894749</v>
      </c>
      <c r="J25" s="22">
        <f t="shared" si="2"/>
        <v>116.90842807360511</v>
      </c>
      <c r="K25" s="22">
        <f t="shared" si="2"/>
        <v>113.83761536488181</v>
      </c>
      <c r="L25" s="22">
        <f t="shared" si="2"/>
        <v>110.54636217242516</v>
      </c>
      <c r="M25" s="22">
        <f t="shared" si="2"/>
        <v>107.01884401865287</v>
      </c>
      <c r="N25" s="22">
        <f t="shared" si="2"/>
        <v>103.23810045455622</v>
      </c>
      <c r="O25" s="22">
        <f t="shared" si="2"/>
        <v>99.185953513179768</v>
      </c>
      <c r="P25" s="22">
        <f t="shared" si="2"/>
        <v>94.842920309225931</v>
      </c>
      <c r="Q25" s="22">
        <f t="shared" si="2"/>
        <v>90.188119364559697</v>
      </c>
      <c r="R25" s="22">
        <f t="shared" si="2"/>
        <v>85.199170209222785</v>
      </c>
      <c r="S25" s="22">
        <f t="shared" si="2"/>
        <v>79.852085775234897</v>
      </c>
      <c r="T25" s="22">
        <f t="shared" si="2"/>
        <v>74.121157065807168</v>
      </c>
      <c r="U25" s="22">
        <f t="shared" si="2"/>
        <v>67.978829545452655</v>
      </c>
      <c r="V25" s="22">
        <f t="shared" si="2"/>
        <v>61.395570656672696</v>
      </c>
      <c r="W25" s="22">
        <f t="shared" si="2"/>
        <v>54.33972782623389</v>
      </c>
      <c r="X25" s="22">
        <f t="shared" si="2"/>
        <v>46.777376278324297</v>
      </c>
      <c r="Y25" s="22">
        <f t="shared" si="2"/>
        <v>38.672155922868342</v>
      </c>
      <c r="Z25" s="22">
        <f t="shared" si="2"/>
        <v>29.985096534752866</v>
      </c>
      <c r="AA25" s="22">
        <f t="shared" si="2"/>
        <v>20.6744303834191</v>
      </c>
      <c r="AB25" s="22">
        <f t="shared" si="2"/>
        <v>10.695391411936018</v>
      </c>
      <c r="AC25" s="22">
        <f t="shared" si="2"/>
        <v>4.2632564145606011E-14</v>
      </c>
      <c r="AD25" s="22">
        <f t="shared" si="2"/>
        <v>4.5692973214629874E-14</v>
      </c>
      <c r="AE25" s="22">
        <f t="shared" si="2"/>
        <v>4.8973075934680089E-14</v>
      </c>
      <c r="AF25" s="22">
        <f t="shared" si="2"/>
        <v>5.2488643171419623E-14</v>
      </c>
      <c r="AG25" s="22">
        <f t="shared" si="2"/>
        <v>5.625657791336796E-14</v>
      </c>
    </row>
    <row r="27" spans="1:33" ht="15" customHeight="1" x14ac:dyDescent="0.3">
      <c r="A27" s="51" t="s">
        <v>154</v>
      </c>
      <c r="B27" s="57"/>
      <c r="C27" s="57"/>
      <c r="D27" s="57"/>
      <c r="E27" s="57"/>
      <c r="F27" s="57"/>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c r="AG27" s="57"/>
    </row>
    <row r="29" spans="1:33" ht="15" customHeight="1" x14ac:dyDescent="0.3">
      <c r="A29" s="9" t="s">
        <v>155</v>
      </c>
      <c r="D29" s="21">
        <f>Assumptions!$B$15*Assumptions!$B$29*Assumptions!$C$29*(1+Assumptions!$B$75)*IF(D5&lt;=0,0,INDEX(Assumptions!$B$57:$F$57,MIN(D5,5)))*8760*Assumptions!$D$29*(1+Assumptions!$B$71)^(D3-1)/1000000*Assumptions!$B$80</f>
        <v>0</v>
      </c>
      <c r="E29" s="21">
        <f>Assumptions!$B$15*Assumptions!$B$29*Assumptions!$C$29*(1+Assumptions!$B$75)*IF(E5&lt;=0,0,INDEX(Assumptions!$B$57:$F$57,MIN(E5,5)))*8760*Assumptions!$D$29*(1+Assumptions!$B$71)^(E3-1)/1000000*Assumptions!$B$80</f>
        <v>0</v>
      </c>
      <c r="F29" s="21">
        <f>Assumptions!$B$15*Assumptions!$B$29*Assumptions!$C$29*(1+Assumptions!$B$75)*IF(F5&lt;=0,0,INDEX(Assumptions!$B$57:$F$57,MIN(F5,5)))*8760*Assumptions!$D$29*(1+Assumptions!$B$71)^(F3-1)/1000000*Assumptions!$B$80</f>
        <v>5.4410207921999989</v>
      </c>
      <c r="G29" s="21">
        <f>Assumptions!$B$15*Assumptions!$B$29*Assumptions!$C$29*(1+Assumptions!$B$75)*IF(G5&lt;=0,0,INDEX(Assumptions!$B$57:$F$57,MIN(G5,5)))*8760*Assumptions!$D$29*(1+Assumptions!$B$71)^(G3-1)/1000000*Assumptions!$B$80</f>
        <v>6.5065540306724996</v>
      </c>
      <c r="H29" s="21">
        <f>Assumptions!$B$15*Assumptions!$B$29*Assumptions!$C$29*(1+Assumptions!$B$75)*IF(H5&lt;=0,0,INDEX(Assumptions!$B$57:$F$57,MIN(H5,5)))*8760*Assumptions!$D$29*(1+Assumptions!$B$71)^(H3-1)/1000000*Assumptions!$B$80</f>
        <v>8.0983359988905921</v>
      </c>
      <c r="I29" s="21">
        <f>Assumptions!$B$15*Assumptions!$B$29*Assumptions!$C$29*(1+Assumptions!$B$75)*IF(I5&lt;=0,0,INDEX(Assumptions!$B$57:$F$57,MIN(I5,5)))*8760*Assumptions!$D$29*(1+Assumptions!$B$71)^(I3-1)/1000000*Assumptions!$B$80</f>
        <v>9.2773584457878986</v>
      </c>
      <c r="J29" s="21">
        <f>Assumptions!$B$15*Assumptions!$B$29*Assumptions!$C$29*(1+Assumptions!$B$75)*IF(J5&lt;=0,0,INDEX(Assumptions!$B$57:$F$57,MIN(J5,5)))*8760*Assumptions!$D$29*(1+Assumptions!$B$71)^(J3-1)/1000000*Assumptions!$B$80</f>
        <v>10.009781480981678</v>
      </c>
      <c r="K29" s="21">
        <f>Assumptions!$B$15*Assumptions!$B$29*Assumptions!$C$29*(1+Assumptions!$B$75)*IF(K5&lt;=0,0,INDEX(Assumptions!$B$57:$F$57,MIN(K5,5)))*8760*Assumptions!$D$29*(1+Assumptions!$B$71)^(K3-1)/1000000*Assumptions!$B$80</f>
        <v>10.26002601800622</v>
      </c>
      <c r="L29" s="21">
        <f>Assumptions!$B$15*Assumptions!$B$29*Assumptions!$C$29*(1+Assumptions!$B$75)*IF(L5&lt;=0,0,INDEX(Assumptions!$B$57:$F$57,MIN(L5,5)))*8760*Assumptions!$D$29*(1+Assumptions!$B$71)^(L3-1)/1000000*Assumptions!$B$80</f>
        <v>10.516526668456377</v>
      </c>
      <c r="M29" s="21">
        <f>Assumptions!$B$15*Assumptions!$B$29*Assumptions!$C$29*(1+Assumptions!$B$75)*IF(M5&lt;=0,0,INDEX(Assumptions!$B$57:$F$57,MIN(M5,5)))*8760*Assumptions!$D$29*(1+Assumptions!$B$71)^(M3-1)/1000000*Assumptions!$B$80</f>
        <v>10.779439835167784</v>
      </c>
      <c r="N29" s="21">
        <f>Assumptions!$B$15*Assumptions!$B$29*Assumptions!$C$29*(1+Assumptions!$B$75)*IF(N5&lt;=0,0,INDEX(Assumptions!$B$57:$F$57,MIN(N5,5)))*8760*Assumptions!$D$29*(1+Assumptions!$B$71)^(N3-1)/1000000*Assumptions!$B$80</f>
        <v>11.048925831046978</v>
      </c>
      <c r="O29" s="21">
        <f>Assumptions!$B$15*Assumptions!$B$29*Assumptions!$C$29*(1+Assumptions!$B$75)*IF(O5&lt;=0,0,INDEX(Assumptions!$B$57:$F$57,MIN(O5,5)))*8760*Assumptions!$D$29*(1+Assumptions!$B$71)^(O3-1)/1000000*Assumptions!$B$80</f>
        <v>11.325148976823153</v>
      </c>
      <c r="P29" s="21">
        <f>Assumptions!$B$15*Assumptions!$B$29*Assumptions!$C$29*(1+Assumptions!$B$75)*IF(P5&lt;=0,0,INDEX(Assumptions!$B$57:$F$57,MIN(P5,5)))*8760*Assumptions!$D$29*(1+Assumptions!$B$71)^(P3-1)/1000000*Assumptions!$B$80</f>
        <v>11.608277701243729</v>
      </c>
      <c r="Q29" s="21">
        <f>Assumptions!$B$15*Assumptions!$B$29*Assumptions!$C$29*(1+Assumptions!$B$75)*IF(Q5&lt;=0,0,INDEX(Assumptions!$B$57:$F$57,MIN(Q5,5)))*8760*Assumptions!$D$29*(1+Assumptions!$B$71)^(Q3-1)/1000000*Assumptions!$B$80</f>
        <v>11.898484643774824</v>
      </c>
      <c r="R29" s="21">
        <f>Assumptions!$B$15*Assumptions!$B$29*Assumptions!$C$29*(1+Assumptions!$B$75)*IF(R5&lt;=0,0,INDEX(Assumptions!$B$57:$F$57,MIN(R5,5)))*8760*Assumptions!$D$29*(1+Assumptions!$B$71)^(R3-1)/1000000*Assumptions!$B$80</f>
        <v>12.195946759869193</v>
      </c>
      <c r="S29" s="21">
        <f>Assumptions!$B$15*Assumptions!$B$29*Assumptions!$C$29*(1+Assumptions!$B$75)*IF(S5&lt;=0,0,INDEX(Assumptions!$B$57:$F$57,MIN(S5,5)))*8760*Assumptions!$D$29*(1+Assumptions!$B$71)^(S3-1)/1000000*Assumptions!$B$80</f>
        <v>12.500845428865924</v>
      </c>
      <c r="T29" s="21">
        <f>Assumptions!$B$15*Assumptions!$B$29*Assumptions!$C$29*(1+Assumptions!$B$75)*IF(T5&lt;=0,0,INDEX(Assumptions!$B$57:$F$57,MIN(T5,5)))*8760*Assumptions!$D$29*(1+Assumptions!$B$71)^(T3-1)/1000000*Assumptions!$B$80</f>
        <v>12.81336656458757</v>
      </c>
      <c r="U29" s="21">
        <f>Assumptions!$B$15*Assumptions!$B$29*Assumptions!$C$29*(1+Assumptions!$B$75)*IF(U5&lt;=0,0,INDEX(Assumptions!$B$57:$F$57,MIN(U5,5)))*8760*Assumptions!$D$29*(1+Assumptions!$B$71)^(U3-1)/1000000*Assumptions!$B$80</f>
        <v>13.133700728702257</v>
      </c>
      <c r="V29" s="21">
        <f>Assumptions!$B$15*Assumptions!$B$29*Assumptions!$C$29*(1+Assumptions!$B$75)*IF(V5&lt;=0,0,INDEX(Assumptions!$B$57:$F$57,MIN(V5,5)))*8760*Assumptions!$D$29*(1+Assumptions!$B$71)^(V3-1)/1000000*Assumptions!$B$80</f>
        <v>13.462043246919814</v>
      </c>
      <c r="W29" s="21">
        <f>Assumptions!$B$15*Assumptions!$B$29*Assumptions!$C$29*(1+Assumptions!$B$75)*IF(W5&lt;=0,0,INDEX(Assumptions!$B$57:$F$57,MIN(W5,5)))*8760*Assumptions!$D$29*(1+Assumptions!$B$71)^(W3-1)/1000000*Assumptions!$B$80</f>
        <v>13.798594328092811</v>
      </c>
      <c r="X29" s="21">
        <f>Assumptions!$B$15*Assumptions!$B$29*Assumptions!$C$29*(1+Assumptions!$B$75)*IF(X5&lt;=0,0,INDEX(Assumptions!$B$57:$F$57,MIN(X5,5)))*8760*Assumptions!$D$29*(1+Assumptions!$B$71)^(X3-1)/1000000*Assumptions!$B$80</f>
        <v>14.14355918629513</v>
      </c>
      <c r="Y29" s="21">
        <f>Assumptions!$B$15*Assumptions!$B$29*Assumptions!$C$29*(1+Assumptions!$B$75)*IF(Y5&lt;=0,0,INDEX(Assumptions!$B$57:$F$57,MIN(Y5,5)))*8760*Assumptions!$D$29*(1+Assumptions!$B$71)^(Y3-1)/1000000*Assumptions!$B$80</f>
        <v>14.497148165952506</v>
      </c>
      <c r="Z29" s="21">
        <f>Assumptions!$B$15*Assumptions!$B$29*Assumptions!$C$29*(1+Assumptions!$B$75)*IF(Z5&lt;=0,0,INDEX(Assumptions!$B$57:$F$57,MIN(Z5,5)))*8760*Assumptions!$D$29*(1+Assumptions!$B$71)^(Z3-1)/1000000*Assumptions!$B$80</f>
        <v>14.859576870101318</v>
      </c>
      <c r="AA29" s="21">
        <f>Assumptions!$B$15*Assumptions!$B$29*Assumptions!$C$29*(1+Assumptions!$B$75)*IF(AA5&lt;=0,0,INDEX(Assumptions!$B$57:$F$57,MIN(AA5,5)))*8760*Assumptions!$D$29*(1+Assumptions!$B$71)^(AA3-1)/1000000*Assumptions!$B$80</f>
        <v>15.231066291853852</v>
      </c>
      <c r="AB29" s="21">
        <f>Assumptions!$B$15*Assumptions!$B$29*Assumptions!$C$29*(1+Assumptions!$B$75)*IF(AB5&lt;=0,0,INDEX(Assumptions!$B$57:$F$57,MIN(AB5,5)))*8760*Assumptions!$D$29*(1+Assumptions!$B$71)^(AB3-1)/1000000*Assumptions!$B$80</f>
        <v>15.611842949150196</v>
      </c>
      <c r="AC29" s="21">
        <f>Assumptions!$B$15*Assumptions!$B$29*Assumptions!$C$29*(1+Assumptions!$B$75)*IF(AC5&lt;=0,0,INDEX(Assumptions!$B$57:$F$57,MIN(AC5,5)))*8760*Assumptions!$D$29*(1+Assumptions!$B$71)^(AC3-1)/1000000*Assumptions!$B$80</f>
        <v>16.002139022878946</v>
      </c>
      <c r="AD29" s="21">
        <f>Assumptions!$B$15*Assumptions!$B$29*Assumptions!$C$29*(1+Assumptions!$B$75)*IF(AD5&lt;=0,0,INDEX(Assumptions!$B$57:$F$57,MIN(AD5,5)))*8760*Assumptions!$D$29*(1+Assumptions!$B$71)^(AD3-1)/1000000*Assumptions!$B$80</f>
        <v>16.402192498450923</v>
      </c>
      <c r="AE29" s="21">
        <f>Assumptions!$B$15*Assumptions!$B$29*Assumptions!$C$29*(1+Assumptions!$B$75)*IF(AE5&lt;=0,0,INDEX(Assumptions!$B$57:$F$57,MIN(AE5,5)))*8760*Assumptions!$D$29*(1+Assumptions!$B$71)^(AE3-1)/1000000*Assumptions!$B$80</f>
        <v>16.812247310912191</v>
      </c>
      <c r="AF29" s="21">
        <f>Assumptions!$B$15*Assumptions!$B$29*Assumptions!$C$29*(1+Assumptions!$B$75)*IF(AF5&lt;=0,0,INDEX(Assumptions!$B$57:$F$57,MIN(AF5,5)))*8760*Assumptions!$D$29*(1+Assumptions!$B$71)^(AF3-1)/1000000*Assumptions!$B$80</f>
        <v>17.232553493684996</v>
      </c>
      <c r="AG29" s="21">
        <f>Assumptions!$B$15*Assumptions!$B$29*Assumptions!$C$29*(1+Assumptions!$B$75)*IF(AG5&lt;=0,0,INDEX(Assumptions!$B$57:$F$57,MIN(AG5,5)))*8760*Assumptions!$D$29*(1+Assumptions!$B$71)^(AG3-1)/1000000*Assumptions!$B$80</f>
        <v>17.663367331027125</v>
      </c>
    </row>
    <row r="30" spans="1:33" ht="15" customHeight="1" x14ac:dyDescent="0.3">
      <c r="A30" s="9" t="s">
        <v>156</v>
      </c>
      <c r="D30" s="21">
        <f>Assumptions!$B$16*Assumptions!$B$30*Assumptions!$C$30*(1+Assumptions!$B$75)*IF(D6&lt;=0,0,INDEX(Assumptions!$B$57:$F$57,MIN(D6,5)))*8760*Assumptions!$D$30*(1+Assumptions!$B$71)^(D3-1)/1000000*Assumptions!$B$80</f>
        <v>0</v>
      </c>
      <c r="E30" s="21">
        <f>Assumptions!$B$16*Assumptions!$B$30*Assumptions!$C$30*(1+Assumptions!$B$75)*IF(E6&lt;=0,0,INDEX(Assumptions!$B$57:$F$57,MIN(E6,5)))*8760*Assumptions!$D$30*(1+Assumptions!$B$71)^(E3-1)/1000000*Assumptions!$B$80</f>
        <v>0</v>
      </c>
      <c r="F30" s="21">
        <f>Assumptions!$B$16*Assumptions!$B$30*Assumptions!$C$30*(1+Assumptions!$B$75)*IF(F6&lt;=0,0,INDEX(Assumptions!$B$57:$F$57,MIN(F6,5)))*8760*Assumptions!$D$30*(1+Assumptions!$B$71)^(F3-1)/1000000*Assumptions!$B$80</f>
        <v>0</v>
      </c>
      <c r="G30" s="21">
        <f>Assumptions!$B$16*Assumptions!$B$30*Assumptions!$C$30*(1+Assumptions!$B$75)*IF(G6&lt;=0,0,INDEX(Assumptions!$B$57:$F$57,MIN(G6,5)))*8760*Assumptions!$D$30*(1+Assumptions!$B$71)^(G3-1)/1000000*Assumptions!$B$80</f>
        <v>5.4558061747875</v>
      </c>
      <c r="H30" s="21">
        <f>Assumptions!$B$16*Assumptions!$B$30*Assumptions!$C$30*(1+Assumptions!$B$75)*IF(H6&lt;=0,0,INDEX(Assumptions!$B$57:$F$57,MIN(H6,5)))*8760*Assumptions!$D$30*(1+Assumptions!$B$71)^(H3-1)/1000000*Assumptions!$B$80</f>
        <v>6.5242348840167166</v>
      </c>
      <c r="I30" s="21">
        <f>Assumptions!$B$16*Assumptions!$B$30*Assumptions!$C$30*(1+Assumptions!$B$75)*IF(I6&lt;=0,0,INDEX(Assumptions!$B$57:$F$57,MIN(I6,5)))*8760*Assumptions!$D$30*(1+Assumptions!$B$71)^(I3-1)/1000000*Assumptions!$B$80</f>
        <v>8.1203423467136631</v>
      </c>
      <c r="J30" s="21">
        <f>Assumptions!$B$16*Assumptions!$B$30*Assumptions!$C$30*(1+Assumptions!$B$75)*IF(J6&lt;=0,0,INDEX(Assumptions!$B$57:$F$57,MIN(J6,5)))*8760*Assumptions!$D$30*(1+Assumptions!$B$71)^(J3-1)/1000000*Assumptions!$B$80</f>
        <v>9.3025686589557992</v>
      </c>
      <c r="K30" s="21">
        <f>Assumptions!$B$16*Assumptions!$B$30*Assumptions!$C$30*(1+Assumptions!$B$75)*IF(K6&lt;=0,0,INDEX(Assumptions!$B$57:$F$57,MIN(K6,5)))*8760*Assumptions!$D$30*(1+Assumptions!$B$71)^(K3-1)/1000000*Assumptions!$B$80</f>
        <v>10.03698197413652</v>
      </c>
      <c r="L30" s="21">
        <f>Assumptions!$B$16*Assumptions!$B$30*Assumptions!$C$30*(1+Assumptions!$B$75)*IF(L6&lt;=0,0,INDEX(Assumptions!$B$57:$F$57,MIN(L6,5)))*8760*Assumptions!$D$30*(1+Assumptions!$B$71)^(L3-1)/1000000*Assumptions!$B$80</f>
        <v>10.287906523489932</v>
      </c>
      <c r="M30" s="21">
        <f>Assumptions!$B$16*Assumptions!$B$30*Assumptions!$C$30*(1+Assumptions!$B$75)*IF(M6&lt;=0,0,INDEX(Assumptions!$B$57:$F$57,MIN(M6,5)))*8760*Assumptions!$D$30*(1+Assumptions!$B$71)^(M3-1)/1000000*Assumptions!$B$80</f>
        <v>10.545104186577177</v>
      </c>
      <c r="N30" s="21">
        <f>Assumptions!$B$16*Assumptions!$B$30*Assumptions!$C$30*(1+Assumptions!$B$75)*IF(N6&lt;=0,0,INDEX(Assumptions!$B$57:$F$57,MIN(N6,5)))*8760*Assumptions!$D$30*(1+Assumptions!$B$71)^(N3-1)/1000000*Assumptions!$B$80</f>
        <v>10.808731791241609</v>
      </c>
      <c r="O30" s="21">
        <f>Assumptions!$B$16*Assumptions!$B$30*Assumptions!$C$30*(1+Assumptions!$B$75)*IF(O6&lt;=0,0,INDEX(Assumptions!$B$57:$F$57,MIN(O6,5)))*8760*Assumptions!$D$30*(1+Assumptions!$B$71)^(O3-1)/1000000*Assumptions!$B$80</f>
        <v>11.078950086022649</v>
      </c>
      <c r="P30" s="21">
        <f>Assumptions!$B$16*Assumptions!$B$30*Assumptions!$C$30*(1+Assumptions!$B$75)*IF(P6&lt;=0,0,INDEX(Assumptions!$B$57:$F$57,MIN(P6,5)))*8760*Assumptions!$D$30*(1+Assumptions!$B$71)^(P3-1)/1000000*Assumptions!$B$80</f>
        <v>11.355923838173213</v>
      </c>
      <c r="Q30" s="21">
        <f>Assumptions!$B$16*Assumptions!$B$30*Assumptions!$C$30*(1+Assumptions!$B$75)*IF(Q6&lt;=0,0,INDEX(Assumptions!$B$57:$F$57,MIN(Q6,5)))*8760*Assumptions!$D$30*(1+Assumptions!$B$71)^(Q3-1)/1000000*Assumptions!$B$80</f>
        <v>11.639821934127543</v>
      </c>
      <c r="R30" s="21">
        <f>Assumptions!$B$16*Assumptions!$B$30*Assumptions!$C$30*(1+Assumptions!$B$75)*IF(R6&lt;=0,0,INDEX(Assumptions!$B$57:$F$57,MIN(R6,5)))*8760*Assumptions!$D$30*(1+Assumptions!$B$71)^(R3-1)/1000000*Assumptions!$B$80</f>
        <v>11.93081748248073</v>
      </c>
      <c r="S30" s="21">
        <f>Assumptions!$B$16*Assumptions!$B$30*Assumptions!$C$30*(1+Assumptions!$B$75)*IF(S6&lt;=0,0,INDEX(Assumptions!$B$57:$F$57,MIN(S6,5)))*8760*Assumptions!$D$30*(1+Assumptions!$B$71)^(S3-1)/1000000*Assumptions!$B$80</f>
        <v>12.229087919542751</v>
      </c>
      <c r="T30" s="21">
        <f>Assumptions!$B$16*Assumptions!$B$30*Assumptions!$C$30*(1+Assumptions!$B$75)*IF(T6&lt;=0,0,INDEX(Assumptions!$B$57:$F$57,MIN(T6,5)))*8760*Assumptions!$D$30*(1+Assumptions!$B$71)^(T3-1)/1000000*Assumptions!$B$80</f>
        <v>12.534815117531318</v>
      </c>
      <c r="U30" s="21">
        <f>Assumptions!$B$16*Assumptions!$B$30*Assumptions!$C$30*(1+Assumptions!$B$75)*IF(U6&lt;=0,0,INDEX(Assumptions!$B$57:$F$57,MIN(U6,5)))*8760*Assumptions!$D$30*(1+Assumptions!$B$71)^(U3-1)/1000000*Assumptions!$B$80</f>
        <v>12.8481854954696</v>
      </c>
      <c r="V30" s="21">
        <f>Assumptions!$B$16*Assumptions!$B$30*Assumptions!$C$30*(1+Assumptions!$B$75)*IF(V6&lt;=0,0,INDEX(Assumptions!$B$57:$F$57,MIN(V6,5)))*8760*Assumptions!$D$30*(1+Assumptions!$B$71)^(V3-1)/1000000*Assumptions!$B$80</f>
        <v>13.169390132856341</v>
      </c>
      <c r="W30" s="21">
        <f>Assumptions!$B$16*Assumptions!$B$30*Assumptions!$C$30*(1+Assumptions!$B$75)*IF(W6&lt;=0,0,INDEX(Assumptions!$B$57:$F$57,MIN(W6,5)))*8760*Assumptions!$D$30*(1+Assumptions!$B$71)^(W3-1)/1000000*Assumptions!$B$80</f>
        <v>13.498624886177748</v>
      </c>
      <c r="X30" s="21">
        <f>Assumptions!$B$16*Assumptions!$B$30*Assumptions!$C$30*(1+Assumptions!$B$75)*IF(X6&lt;=0,0,INDEX(Assumptions!$B$57:$F$57,MIN(X6,5)))*8760*Assumptions!$D$30*(1+Assumptions!$B$71)^(X3-1)/1000000*Assumptions!$B$80</f>
        <v>13.836090508332191</v>
      </c>
      <c r="Y30" s="21">
        <f>Assumptions!$B$16*Assumptions!$B$30*Assumptions!$C$30*(1+Assumptions!$B$75)*IF(Y6&lt;=0,0,INDEX(Assumptions!$B$57:$F$57,MIN(Y6,5)))*8760*Assumptions!$D$30*(1+Assumptions!$B$71)^(Y3-1)/1000000*Assumptions!$B$80</f>
        <v>14.181992771040493</v>
      </c>
      <c r="Z30" s="21">
        <f>Assumptions!$B$16*Assumptions!$B$30*Assumptions!$C$30*(1+Assumptions!$B$75)*IF(Z6&lt;=0,0,INDEX(Assumptions!$B$57:$F$57,MIN(Z6,5)))*8760*Assumptions!$D$30*(1+Assumptions!$B$71)^(Z3-1)/1000000*Assumptions!$B$80</f>
        <v>14.536542590316504</v>
      </c>
      <c r="AA30" s="21">
        <f>Assumptions!$B$16*Assumptions!$B$30*Assumptions!$C$30*(1+Assumptions!$B$75)*IF(AA6&lt;=0,0,INDEX(Assumptions!$B$57:$F$57,MIN(AA6,5)))*8760*Assumptions!$D$30*(1+Assumptions!$B$71)^(AA3-1)/1000000*Assumptions!$B$80</f>
        <v>14.899956155074419</v>
      </c>
      <c r="AB30" s="21">
        <f>Assumptions!$B$16*Assumptions!$B$30*Assumptions!$C$30*(1+Assumptions!$B$75)*IF(AB6&lt;=0,0,INDEX(Assumptions!$B$57:$F$57,MIN(AB6,5)))*8760*Assumptions!$D$30*(1+Assumptions!$B$71)^(AB3-1)/1000000*Assumptions!$B$80</f>
        <v>15.272455058951277</v>
      </c>
      <c r="AC30" s="21">
        <f>Assumptions!$B$16*Assumptions!$B$30*Assumptions!$C$30*(1+Assumptions!$B$75)*IF(AC6&lt;=0,0,INDEX(Assumptions!$B$57:$F$57,MIN(AC6,5)))*8760*Assumptions!$D$30*(1+Assumptions!$B$71)^(AC3-1)/1000000*Assumptions!$B$80</f>
        <v>15.654266435425059</v>
      </c>
      <c r="AD30" s="21">
        <f>Assumptions!$B$16*Assumptions!$B$30*Assumptions!$C$30*(1+Assumptions!$B$75)*IF(AD6&lt;=0,0,INDEX(Assumptions!$B$57:$F$57,MIN(AD6,5)))*8760*Assumptions!$D$30*(1+Assumptions!$B$71)^(AD3-1)/1000000*Assumptions!$B$80</f>
        <v>16.045623096310681</v>
      </c>
      <c r="AE30" s="21">
        <f>Assumptions!$B$16*Assumptions!$B$30*Assumptions!$C$30*(1+Assumptions!$B$75)*IF(AE6&lt;=0,0,INDEX(Assumptions!$B$57:$F$57,MIN(AE6,5)))*8760*Assumptions!$D$30*(1+Assumptions!$B$71)^(AE3-1)/1000000*Assumptions!$B$80</f>
        <v>16.446763673718451</v>
      </c>
      <c r="AF30" s="21">
        <f>Assumptions!$B$16*Assumptions!$B$30*Assumptions!$C$30*(1+Assumptions!$B$75)*IF(AF6&lt;=0,0,INDEX(Assumptions!$B$57:$F$57,MIN(AF6,5)))*8760*Assumptions!$D$30*(1+Assumptions!$B$71)^(AF3-1)/1000000*Assumptions!$B$80</f>
        <v>16.857932765561412</v>
      </c>
      <c r="AG30" s="21">
        <f>Assumptions!$B$16*Assumptions!$B$30*Assumptions!$C$30*(1+Assumptions!$B$75)*IF(AG6&lt;=0,0,INDEX(Assumptions!$B$57:$F$57,MIN(AG6,5)))*8760*Assumptions!$D$30*(1+Assumptions!$B$71)^(AG3-1)/1000000*Assumptions!$B$80</f>
        <v>17.279381084700447</v>
      </c>
    </row>
    <row r="31" spans="1:33" ht="15" customHeight="1" x14ac:dyDescent="0.3">
      <c r="A31" s="9" t="s">
        <v>157</v>
      </c>
      <c r="D31" s="21">
        <f>Assumptions!$B$17*Assumptions!$B$31*Assumptions!$C$31*(1+Assumptions!$B$75)*IF(D6&lt;=0,0,INDEX(Assumptions!$B$57:$F$57,MIN(D6,5)))*8760*Assumptions!$D$31*(1+Assumptions!$B$71)^(D3-1)/1000000*Assumptions!$B$80</f>
        <v>0</v>
      </c>
      <c r="E31" s="21">
        <f>Assumptions!$B$17*Assumptions!$B$31*Assumptions!$C$31*(1+Assumptions!$B$75)*IF(E6&lt;=0,0,INDEX(Assumptions!$B$57:$F$57,MIN(E6,5)))*8760*Assumptions!$D$31*(1+Assumptions!$B$71)^(E3-1)/1000000*Assumptions!$B$80</f>
        <v>0</v>
      </c>
      <c r="F31" s="21">
        <f>Assumptions!$B$17*Assumptions!$B$31*Assumptions!$C$31*(1+Assumptions!$B$75)*IF(F6&lt;=0,0,INDEX(Assumptions!$B$57:$F$57,MIN(F6,5)))*8760*Assumptions!$D$31*(1+Assumptions!$B$71)^(F3-1)/1000000*Assumptions!$B$80</f>
        <v>0</v>
      </c>
      <c r="G31" s="21">
        <f>Assumptions!$B$17*Assumptions!$B$31*Assumptions!$C$31*(1+Assumptions!$B$75)*IF(G6&lt;=0,0,INDEX(Assumptions!$B$57:$F$57,MIN(G6,5)))*8760*Assumptions!$D$31*(1+Assumptions!$B$71)^(G3-1)/1000000*Assumptions!$B$80</f>
        <v>2.5864562606399994</v>
      </c>
      <c r="H31" s="21">
        <f>Assumptions!$B$17*Assumptions!$B$31*Assumptions!$C$31*(1+Assumptions!$B$75)*IF(H6&lt;=0,0,INDEX(Assumptions!$B$57:$F$57,MIN(H6,5)))*8760*Assumptions!$D$31*(1+Assumptions!$B$71)^(H3-1)/1000000*Assumptions!$B$80</f>
        <v>3.0929706116819995</v>
      </c>
      <c r="I31" s="21">
        <f>Assumptions!$B$17*Assumptions!$B$31*Assumptions!$C$31*(1+Assumptions!$B$75)*IF(I6&lt;=0,0,INDEX(Assumptions!$B$57:$F$57,MIN(I6,5)))*8760*Assumptions!$D$31*(1+Assumptions!$B$71)^(I3-1)/1000000*Assumptions!$B$80</f>
        <v>3.8496437791827733</v>
      </c>
      <c r="J31" s="21">
        <f>Assumptions!$B$17*Assumptions!$B$31*Assumptions!$C$31*(1+Assumptions!$B$75)*IF(J6&lt;=0,0,INDEX(Assumptions!$B$57:$F$57,MIN(J6,5)))*8760*Assumptions!$D$31*(1+Assumptions!$B$71)^(J3-1)/1000000*Assumptions!$B$80</f>
        <v>4.410106623504972</v>
      </c>
      <c r="K31" s="21">
        <f>Assumptions!$B$17*Assumptions!$B$31*Assumptions!$C$31*(1+Assumptions!$B$75)*IF(K6&lt;=0,0,INDEX(Assumptions!$B$57:$F$57,MIN(K6,5)))*8760*Assumptions!$D$31*(1+Assumptions!$B$71)^(K3-1)/1000000*Assumptions!$B$80</f>
        <v>4.7582729358869429</v>
      </c>
      <c r="L31" s="21">
        <f>Assumptions!$B$17*Assumptions!$B$31*Assumptions!$C$31*(1+Assumptions!$B$75)*IF(L6&lt;=0,0,INDEX(Assumptions!$B$57:$F$57,MIN(L6,5)))*8760*Assumptions!$D$31*(1+Assumptions!$B$71)^(L3-1)/1000000*Assumptions!$B$80</f>
        <v>4.8772297592841163</v>
      </c>
      <c r="M31" s="21">
        <f>Assumptions!$B$17*Assumptions!$B$31*Assumptions!$C$31*(1+Assumptions!$B$75)*IF(M6&lt;=0,0,INDEX(Assumptions!$B$57:$F$57,MIN(M6,5)))*8760*Assumptions!$D$31*(1+Assumptions!$B$71)^(M3-1)/1000000*Assumptions!$B$80</f>
        <v>4.9991605032662179</v>
      </c>
      <c r="N31" s="21">
        <f>Assumptions!$B$17*Assumptions!$B$31*Assumptions!$C$31*(1+Assumptions!$B$75)*IF(N6&lt;=0,0,INDEX(Assumptions!$B$57:$F$57,MIN(N6,5)))*8760*Assumptions!$D$31*(1+Assumptions!$B$71)^(N3-1)/1000000*Assumptions!$B$80</f>
        <v>5.1241395158478733</v>
      </c>
      <c r="O31" s="21">
        <f>Assumptions!$B$17*Assumptions!$B$31*Assumptions!$C$31*(1+Assumptions!$B$75)*IF(O6&lt;=0,0,INDEX(Assumptions!$B$57:$F$57,MIN(O6,5)))*8760*Assumptions!$D$31*(1+Assumptions!$B$71)^(O3-1)/1000000*Assumptions!$B$80</f>
        <v>5.2522430037440699</v>
      </c>
      <c r="P31" s="21">
        <f>Assumptions!$B$17*Assumptions!$B$31*Assumptions!$C$31*(1+Assumptions!$B$75)*IF(P6&lt;=0,0,INDEX(Assumptions!$B$57:$F$57,MIN(P6,5)))*8760*Assumptions!$D$31*(1+Assumptions!$B$71)^(P3-1)/1000000*Assumptions!$B$80</f>
        <v>5.3835490788376719</v>
      </c>
      <c r="Q31" s="21">
        <f>Assumptions!$B$17*Assumptions!$B$31*Assumptions!$C$31*(1+Assumptions!$B$75)*IF(Q6&lt;=0,0,INDEX(Assumptions!$B$57:$F$57,MIN(Q6,5)))*8760*Assumptions!$D$31*(1+Assumptions!$B$71)^(Q3-1)/1000000*Assumptions!$B$80</f>
        <v>5.5181378058086139</v>
      </c>
      <c r="R31" s="21">
        <f>Assumptions!$B$17*Assumptions!$B$31*Assumptions!$C$31*(1+Assumptions!$B$75)*IF(R6&lt;=0,0,INDEX(Assumptions!$B$57:$F$57,MIN(R6,5)))*8760*Assumptions!$D$31*(1+Assumptions!$B$71)^(R3-1)/1000000*Assumptions!$B$80</f>
        <v>5.6560912509538275</v>
      </c>
      <c r="S31" s="21">
        <f>Assumptions!$B$17*Assumptions!$B$31*Assumptions!$C$31*(1+Assumptions!$B$75)*IF(S6&lt;=0,0,INDEX(Assumptions!$B$57:$F$57,MIN(S6,5)))*8760*Assumptions!$D$31*(1+Assumptions!$B$71)^(S3-1)/1000000*Assumptions!$B$80</f>
        <v>5.7974935322276737</v>
      </c>
      <c r="T31" s="21">
        <f>Assumptions!$B$17*Assumptions!$B$31*Assumptions!$C$31*(1+Assumptions!$B$75)*IF(T6&lt;=0,0,INDEX(Assumptions!$B$57:$F$57,MIN(T6,5)))*8760*Assumptions!$D$31*(1+Assumptions!$B$71)^(T3-1)/1000000*Assumptions!$B$80</f>
        <v>5.9424308705333662</v>
      </c>
      <c r="U31" s="21">
        <f>Assumptions!$B$17*Assumptions!$B$31*Assumptions!$C$31*(1+Assumptions!$B$75)*IF(U6&lt;=0,0,INDEX(Assumptions!$B$57:$F$57,MIN(U6,5)))*8760*Assumptions!$D$31*(1+Assumptions!$B$71)^(U3-1)/1000000*Assumptions!$B$80</f>
        <v>6.0909916422966992</v>
      </c>
      <c r="V31" s="21">
        <f>Assumptions!$B$17*Assumptions!$B$31*Assumptions!$C$31*(1+Assumptions!$B$75)*IF(V6&lt;=0,0,INDEX(Assumptions!$B$57:$F$57,MIN(V6,5)))*8760*Assumptions!$D$31*(1+Assumptions!$B$71)^(V3-1)/1000000*Assumptions!$B$80</f>
        <v>6.2432664333541172</v>
      </c>
      <c r="W31" s="21">
        <f>Assumptions!$B$17*Assumptions!$B$31*Assumptions!$C$31*(1+Assumptions!$B$75)*IF(W6&lt;=0,0,INDEX(Assumptions!$B$57:$F$57,MIN(W6,5)))*8760*Assumptions!$D$31*(1+Assumptions!$B$71)^(W3-1)/1000000*Assumptions!$B$80</f>
        <v>6.3993480941879701</v>
      </c>
      <c r="X31" s="21">
        <f>Assumptions!$B$17*Assumptions!$B$31*Assumptions!$C$31*(1+Assumptions!$B$75)*IF(X6&lt;=0,0,INDEX(Assumptions!$B$57:$F$57,MIN(X6,5)))*8760*Assumptions!$D$31*(1+Assumptions!$B$71)^(X3-1)/1000000*Assumptions!$B$80</f>
        <v>6.5593317965426685</v>
      </c>
      <c r="Y31" s="21">
        <f>Assumptions!$B$17*Assumptions!$B$31*Assumptions!$C$31*(1+Assumptions!$B$75)*IF(Y6&lt;=0,0,INDEX(Assumptions!$B$57:$F$57,MIN(Y6,5)))*8760*Assumptions!$D$31*(1+Assumptions!$B$71)^(Y3-1)/1000000*Assumptions!$B$80</f>
        <v>6.723315091456235</v>
      </c>
      <c r="Z31" s="21">
        <f>Assumptions!$B$17*Assumptions!$B$31*Assumptions!$C$31*(1+Assumptions!$B$75)*IF(Z6&lt;=0,0,INDEX(Assumptions!$B$57:$F$57,MIN(Z6,5)))*8760*Assumptions!$D$31*(1+Assumptions!$B$71)^(Z3-1)/1000000*Assumptions!$B$80</f>
        <v>6.8913979687426403</v>
      </c>
      <c r="AA31" s="21">
        <f>Assumptions!$B$17*Assumptions!$B$31*Assumptions!$C$31*(1+Assumptions!$B$75)*IF(AA6&lt;=0,0,INDEX(Assumptions!$B$57:$F$57,MIN(AA6,5)))*8760*Assumptions!$D$31*(1+Assumptions!$B$71)^(AA3-1)/1000000*Assumptions!$B$80</f>
        <v>7.0636829179612066</v>
      </c>
      <c r="AB31" s="21">
        <f>Assumptions!$B$17*Assumptions!$B$31*Assumptions!$C$31*(1+Assumptions!$B$75)*IF(AB6&lt;=0,0,INDEX(Assumptions!$B$57:$F$57,MIN(AB6,5)))*8760*Assumptions!$D$31*(1+Assumptions!$B$71)^(AB3-1)/1000000*Assumptions!$B$80</f>
        <v>7.240274990910236</v>
      </c>
      <c r="AC31" s="21">
        <f>Assumptions!$B$17*Assumptions!$B$31*Assumptions!$C$31*(1+Assumptions!$B$75)*IF(AC6&lt;=0,0,INDEX(Assumptions!$B$57:$F$57,MIN(AC6,5)))*8760*Assumptions!$D$31*(1+Assumptions!$B$71)^(AC3-1)/1000000*Assumptions!$B$80</f>
        <v>7.4212818656829898</v>
      </c>
      <c r="AD31" s="21">
        <f>Assumptions!$B$17*Assumptions!$B$31*Assumptions!$C$31*(1+Assumptions!$B$75)*IF(AD6&lt;=0,0,INDEX(Assumptions!$B$57:$F$57,MIN(AD6,5)))*8760*Assumptions!$D$31*(1+Assumptions!$B$71)^(AD3-1)/1000000*Assumptions!$B$80</f>
        <v>7.6068139123250651</v>
      </c>
      <c r="AE31" s="21">
        <f>Assumptions!$B$17*Assumptions!$B$31*Assumptions!$C$31*(1+Assumptions!$B$75)*IF(AE6&lt;=0,0,INDEX(Assumptions!$B$57:$F$57,MIN(AE6,5)))*8760*Assumptions!$D$31*(1+Assumptions!$B$71)^(AE3-1)/1000000*Assumptions!$B$80</f>
        <v>7.7969842601331916</v>
      </c>
      <c r="AF31" s="21">
        <f>Assumptions!$B$17*Assumptions!$B$31*Assumptions!$C$31*(1+Assumptions!$B$75)*IF(AF6&lt;=0,0,INDEX(Assumptions!$B$57:$F$57,MIN(AF6,5)))*8760*Assumptions!$D$31*(1+Assumptions!$B$71)^(AF3-1)/1000000*Assumptions!$B$80</f>
        <v>7.9919088666365212</v>
      </c>
      <c r="AG31" s="21">
        <f>Assumptions!$B$17*Assumptions!$B$31*Assumptions!$C$31*(1+Assumptions!$B$75)*IF(AG6&lt;=0,0,INDEX(Assumptions!$B$57:$F$57,MIN(AG6,5)))*8760*Assumptions!$D$31*(1+Assumptions!$B$71)^(AG3-1)/1000000*Assumptions!$B$80</f>
        <v>8.1917065883024343</v>
      </c>
    </row>
    <row r="32" spans="1:33" ht="15" customHeight="1" x14ac:dyDescent="0.3">
      <c r="A32" s="9" t="s">
        <v>158</v>
      </c>
      <c r="D32" s="21">
        <f>Assumptions!$B$15*Assumptions!$B$36*(IF(D5&lt;=0,0,IF(D5&lt;=5,Assumptions!$C$36/5*D5,IF(D5&lt;=10,Assumptions!$C$36+(Assumptions!$D$36-Assumptions!$C$36)*(D5-5)/5,Assumptions!$D$36))))*365*(1+Assumptions!$B$75)*Assumptions!$E$36*(1+Assumptions!$B$71)^(D3-1)/1000000*Assumptions!$B$80</f>
        <v>0</v>
      </c>
      <c r="E32" s="21">
        <f>Assumptions!$B$15*Assumptions!$B$36*(IF(E5&lt;=0,0,IF(E5&lt;=5,Assumptions!$C$36/5*E5,IF(E5&lt;=10,Assumptions!$C$36+(Assumptions!$D$36-Assumptions!$C$36)*(E5-5)/5,Assumptions!$D$36))))*365*(1+Assumptions!$B$75)*Assumptions!$E$36*(1+Assumptions!$B$71)^(E3-1)/1000000*Assumptions!$B$80</f>
        <v>0</v>
      </c>
      <c r="F32" s="21">
        <f>Assumptions!$B$15*Assumptions!$B$36*(IF(F5&lt;=0,0,IF(F5&lt;=5,Assumptions!$C$36/5*F5,IF(F5&lt;=10,Assumptions!$C$36+(Assumptions!$D$36-Assumptions!$C$36)*(F5-5)/5,Assumptions!$D$36))))*365*(1+Assumptions!$B$75)*Assumptions!$E$36*(1+Assumptions!$B$71)^(F3-1)/1000000*Assumptions!$B$80</f>
        <v>9.0596707031249987E-2</v>
      </c>
      <c r="G32" s="21">
        <f>Assumptions!$B$15*Assumptions!$B$36*(IF(G5&lt;=0,0,IF(G5&lt;=5,Assumptions!$C$36/5*G5,IF(G5&lt;=10,Assumptions!$C$36+(Assumptions!$D$36-Assumptions!$C$36)*(G5-5)/5,Assumptions!$D$36))))*365*(1+Assumptions!$B$75)*Assumptions!$E$36*(1+Assumptions!$B$71)^(G3-1)/1000000*Assumptions!$B$80</f>
        <v>0.18572324941406246</v>
      </c>
      <c r="H32" s="21">
        <f>Assumptions!$B$15*Assumptions!$B$36*(IF(H5&lt;=0,0,IF(H5&lt;=5,Assumptions!$C$36/5*H5,IF(H5&lt;=10,Assumptions!$C$36+(Assumptions!$D$36-Assumptions!$C$36)*(H5-5)/5,Assumptions!$D$36))))*365*(1+Assumptions!$B$75)*Assumptions!$E$36*(1+Assumptions!$B$71)^(H3-1)/1000000*Assumptions!$B$80</f>
        <v>0.28554949597412105</v>
      </c>
      <c r="I32" s="21">
        <f>Assumptions!$B$15*Assumptions!$B$36*(IF(I5&lt;=0,0,IF(I5&lt;=5,Assumptions!$C$36/5*I5,IF(I5&lt;=10,Assumptions!$C$36+(Assumptions!$D$36-Assumptions!$C$36)*(I5-5)/5,Assumptions!$D$36))))*365*(1+Assumptions!$B$75)*Assumptions!$E$36*(1+Assumptions!$B$71)^(I3-1)/1000000*Assumptions!$B$80</f>
        <v>0.3902509778312987</v>
      </c>
      <c r="J32" s="21">
        <f>Assumptions!$B$15*Assumptions!$B$36*(IF(J5&lt;=0,0,IF(J5&lt;=5,Assumptions!$C$36/5*J5,IF(J5&lt;=10,Assumptions!$C$36+(Assumptions!$D$36-Assumptions!$C$36)*(J5-5)/5,Assumptions!$D$36))))*365*(1+Assumptions!$B$75)*Assumptions!$E$36*(1+Assumptions!$B$71)^(J3-1)/1000000*Assumptions!$B$80</f>
        <v>0.50000906534635137</v>
      </c>
      <c r="K32" s="21">
        <f>Assumptions!$B$15*Assumptions!$B$36*(IF(K5&lt;=0,0,IF(K5&lt;=5,Assumptions!$C$36/5*K5,IF(K5&lt;=10,Assumptions!$C$36+(Assumptions!$D$36-Assumptions!$C$36)*(K5-5)/5,Assumptions!$D$36))))*365*(1+Assumptions!$B$75)*Assumptions!$E$36*(1+Assumptions!$B$71)^(K3-1)/1000000*Assumptions!$B$80</f>
        <v>0.56945476886667812</v>
      </c>
      <c r="L32" s="21">
        <f>Assumptions!$B$15*Assumptions!$B$36*(IF(L5&lt;=0,0,IF(L5&lt;=5,Assumptions!$C$36/5*L5,IF(L5&lt;=10,Assumptions!$C$36+(Assumptions!$D$36-Assumptions!$C$36)*(L5-5)/5,Assumptions!$D$36))))*365*(1+Assumptions!$B$75)*Assumptions!$E$36*(1+Assumptions!$B$71)^(L3-1)/1000000*Assumptions!$B$80</f>
        <v>0.64206025189717952</v>
      </c>
      <c r="M32" s="21">
        <f>Assumptions!$B$15*Assumptions!$B$36*(IF(M5&lt;=0,0,IF(M5&lt;=5,Assumptions!$C$36/5*M5,IF(M5&lt;=10,Assumptions!$C$36+(Assumptions!$D$36-Assumptions!$C$36)*(M5-5)/5,Assumptions!$D$36))))*365*(1+Assumptions!$B$75)*Assumptions!$E$36*(1+Assumptions!$B$71)^(M3-1)/1000000*Assumptions!$B$80</f>
        <v>0.71794009984866403</v>
      </c>
      <c r="N32" s="21">
        <f>Assumptions!$B$15*Assumptions!$B$36*(IF(N5&lt;=0,0,IF(N5&lt;=5,Assumptions!$C$36/5*N5,IF(N5&lt;=10,Assumptions!$C$36+(Assumptions!$D$36-Assumptions!$C$36)*(N5-5)/5,Assumptions!$D$36))))*365*(1+Assumptions!$B$75)*Assumptions!$E$36*(1+Assumptions!$B$71)^(N3-1)/1000000*Assumptions!$B$80</f>
        <v>0.79721265254028728</v>
      </c>
      <c r="O32" s="21">
        <f>Assumptions!$B$15*Assumptions!$B$36*(IF(O5&lt;=0,0,IF(O5&lt;=5,Assumptions!$C$36/5*O5,IF(O5&lt;=10,Assumptions!$C$36+(Assumptions!$D$36-Assumptions!$C$36)*(O5-5)/5,Assumptions!$D$36))))*365*(1+Assumptions!$B$75)*Assumptions!$E$36*(1+Assumptions!$B$71)^(O3-1)/1000000*Assumptions!$B$80</f>
        <v>0.88000012030408648</v>
      </c>
      <c r="P32" s="21">
        <f>Assumptions!$B$15*Assumptions!$B$36*(IF(P5&lt;=0,0,IF(P5&lt;=5,Assumptions!$C$36/5*P5,IF(P5&lt;=10,Assumptions!$C$36+(Assumptions!$D$36-Assumptions!$C$36)*(P5-5)/5,Assumptions!$D$36))))*365*(1+Assumptions!$B$75)*Assumptions!$E$36*(1+Assumptions!$B$71)^(P3-1)/1000000*Assumptions!$B$80</f>
        <v>0.90200012331168855</v>
      </c>
      <c r="Q32" s="21">
        <f>Assumptions!$B$15*Assumptions!$B$36*(IF(Q5&lt;=0,0,IF(Q5&lt;=5,Assumptions!$C$36/5*Q5,IF(Q5&lt;=10,Assumptions!$C$36+(Assumptions!$D$36-Assumptions!$C$36)*(Q5-5)/5,Assumptions!$D$36))))*365*(1+Assumptions!$B$75)*Assumptions!$E$36*(1+Assumptions!$B$71)^(Q3-1)/1000000*Assumptions!$B$80</f>
        <v>0.92455012639448075</v>
      </c>
      <c r="R32" s="21">
        <f>Assumptions!$B$15*Assumptions!$B$36*(IF(R5&lt;=0,0,IF(R5&lt;=5,Assumptions!$C$36/5*R5,IF(R5&lt;=10,Assumptions!$C$36+(Assumptions!$D$36-Assumptions!$C$36)*(R5-5)/5,Assumptions!$D$36))))*365*(1+Assumptions!$B$75)*Assumptions!$E$36*(1+Assumptions!$B$71)^(R3-1)/1000000*Assumptions!$B$80</f>
        <v>0.94766387955434284</v>
      </c>
      <c r="S32" s="21">
        <f>Assumptions!$B$15*Assumptions!$B$36*(IF(S5&lt;=0,0,IF(S5&lt;=5,Assumptions!$C$36/5*S5,IF(S5&lt;=10,Assumptions!$C$36+(Assumptions!$D$36-Assumptions!$C$36)*(S5-5)/5,Assumptions!$D$36))))*365*(1+Assumptions!$B$75)*Assumptions!$E$36*(1+Assumptions!$B$71)^(S3-1)/1000000*Assumptions!$B$80</f>
        <v>0.97135547654320142</v>
      </c>
      <c r="T32" s="21">
        <f>Assumptions!$B$15*Assumptions!$B$36*(IF(T5&lt;=0,0,IF(T5&lt;=5,Assumptions!$C$36/5*T5,IF(T5&lt;=10,Assumptions!$C$36+(Assumptions!$D$36-Assumptions!$C$36)*(T5-5)/5,Assumptions!$D$36))))*365*(1+Assumptions!$B$75)*Assumptions!$E$36*(1+Assumptions!$B$71)^(T3-1)/1000000*Assumptions!$B$80</f>
        <v>0.9956393634567815</v>
      </c>
      <c r="U32" s="21">
        <f>Assumptions!$B$15*Assumptions!$B$36*(IF(U5&lt;=0,0,IF(U5&lt;=5,Assumptions!$C$36/5*U5,IF(U5&lt;=10,Assumptions!$C$36+(Assumptions!$D$36-Assumptions!$C$36)*(U5-5)/5,Assumptions!$D$36))))*365*(1+Assumptions!$B$75)*Assumptions!$E$36*(1+Assumptions!$B$71)^(U3-1)/1000000*Assumptions!$B$80</f>
        <v>1.0205303475432008</v>
      </c>
      <c r="V32" s="21">
        <f>Assumptions!$B$15*Assumptions!$B$36*(IF(V5&lt;=0,0,IF(V5&lt;=5,Assumptions!$C$36/5*V5,IF(V5&lt;=10,Assumptions!$C$36+(Assumptions!$D$36-Assumptions!$C$36)*(V5-5)/5,Assumptions!$D$36))))*365*(1+Assumptions!$B$75)*Assumptions!$E$36*(1+Assumptions!$B$71)^(V3-1)/1000000*Assumptions!$B$80</f>
        <v>1.0460436062317811</v>
      </c>
      <c r="W32" s="21">
        <f>Assumptions!$B$15*Assumptions!$B$36*(IF(W5&lt;=0,0,IF(W5&lt;=5,Assumptions!$C$36/5*W5,IF(W5&lt;=10,Assumptions!$C$36+(Assumptions!$D$36-Assumptions!$C$36)*(W5-5)/5,Assumptions!$D$36))))*365*(1+Assumptions!$B$75)*Assumptions!$E$36*(1+Assumptions!$B$71)^(W3-1)/1000000*Assumptions!$B$80</f>
        <v>1.0721946963875755</v>
      </c>
      <c r="X32" s="21">
        <f>Assumptions!$B$15*Assumptions!$B$36*(IF(X5&lt;=0,0,IF(X5&lt;=5,Assumptions!$C$36/5*X5,IF(X5&lt;=10,Assumptions!$C$36+(Assumptions!$D$36-Assumptions!$C$36)*(X5-5)/5,Assumptions!$D$36))))*365*(1+Assumptions!$B$75)*Assumptions!$E$36*(1+Assumptions!$B$71)^(X3-1)/1000000*Assumptions!$B$80</f>
        <v>1.0989995637972645</v>
      </c>
      <c r="Y32" s="21">
        <f>Assumptions!$B$15*Assumptions!$B$36*(IF(Y5&lt;=0,0,IF(Y5&lt;=5,Assumptions!$C$36/5*Y5,IF(Y5&lt;=10,Assumptions!$C$36+(Assumptions!$D$36-Assumptions!$C$36)*(Y5-5)/5,Assumptions!$D$36))))*365*(1+Assumptions!$B$75)*Assumptions!$E$36*(1+Assumptions!$B$71)^(Y3-1)/1000000*Assumptions!$B$80</f>
        <v>1.126474552892196</v>
      </c>
      <c r="Z32" s="21">
        <f>Assumptions!$B$15*Assumptions!$B$36*(IF(Z5&lt;=0,0,IF(Z5&lt;=5,Assumptions!$C$36/5*Z5,IF(Z5&lt;=10,Assumptions!$C$36+(Assumptions!$D$36-Assumptions!$C$36)*(Z5-5)/5,Assumptions!$D$36))))*365*(1+Assumptions!$B$75)*Assumptions!$E$36*(1+Assumptions!$B$71)^(Z3-1)/1000000*Assumptions!$B$80</f>
        <v>1.1546364167145009</v>
      </c>
      <c r="AA32" s="21">
        <f>Assumptions!$B$15*Assumptions!$B$36*(IF(AA5&lt;=0,0,IF(AA5&lt;=5,Assumptions!$C$36/5*AA5,IF(AA5&lt;=10,Assumptions!$C$36+(Assumptions!$D$36-Assumptions!$C$36)*(AA5-5)/5,Assumptions!$D$36))))*365*(1+Assumptions!$B$75)*Assumptions!$E$36*(1+Assumptions!$B$71)^(AA3-1)/1000000*Assumptions!$B$80</f>
        <v>1.1835023271323635</v>
      </c>
      <c r="AB32" s="21">
        <f>Assumptions!$B$15*Assumptions!$B$36*(IF(AB5&lt;=0,0,IF(AB5&lt;=5,Assumptions!$C$36/5*AB5,IF(AB5&lt;=10,Assumptions!$C$36+(Assumptions!$D$36-Assumptions!$C$36)*(AB5-5)/5,Assumptions!$D$36))))*365*(1+Assumptions!$B$75)*Assumptions!$E$36*(1+Assumptions!$B$71)^(AB3-1)/1000000*Assumptions!$B$80</f>
        <v>1.2130898853106726</v>
      </c>
      <c r="AC32" s="21">
        <f>Assumptions!$B$15*Assumptions!$B$36*(IF(AC5&lt;=0,0,IF(AC5&lt;=5,Assumptions!$C$36/5*AC5,IF(AC5&lt;=10,Assumptions!$C$36+(Assumptions!$D$36-Assumptions!$C$36)*(AC5-5)/5,Assumptions!$D$36))))*365*(1+Assumptions!$B$75)*Assumptions!$E$36*(1+Assumptions!$B$71)^(AC3-1)/1000000*Assumptions!$B$80</f>
        <v>1.2434171324434391</v>
      </c>
      <c r="AD32" s="21">
        <f>Assumptions!$B$15*Assumptions!$B$36*(IF(AD5&lt;=0,0,IF(AD5&lt;=5,Assumptions!$C$36/5*AD5,IF(AD5&lt;=10,Assumptions!$C$36+(Assumptions!$D$36-Assumptions!$C$36)*(AD5-5)/5,Assumptions!$D$36))))*365*(1+Assumptions!$B$75)*Assumptions!$E$36*(1+Assumptions!$B$71)^(AD3-1)/1000000*Assumptions!$B$80</f>
        <v>1.2745025607545248</v>
      </c>
      <c r="AE32" s="21">
        <f>Assumptions!$B$15*Assumptions!$B$36*(IF(AE5&lt;=0,0,IF(AE5&lt;=5,Assumptions!$C$36/5*AE5,IF(AE5&lt;=10,Assumptions!$C$36+(Assumptions!$D$36-Assumptions!$C$36)*(AE5-5)/5,Assumptions!$D$36))))*365*(1+Assumptions!$B$75)*Assumptions!$E$36*(1+Assumptions!$B$71)^(AE3-1)/1000000*Assumptions!$B$80</f>
        <v>1.3063651247733881</v>
      </c>
      <c r="AF32" s="21">
        <f>Assumptions!$B$15*Assumptions!$B$36*(IF(AF5&lt;=0,0,IF(AF5&lt;=5,Assumptions!$C$36/5*AF5,IF(AF5&lt;=10,Assumptions!$C$36+(Assumptions!$D$36-Assumptions!$C$36)*(AF5-5)/5,Assumptions!$D$36))))*365*(1+Assumptions!$B$75)*Assumptions!$E$36*(1+Assumptions!$B$71)^(AF3-1)/1000000*Assumptions!$B$80</f>
        <v>1.3390242528927228</v>
      </c>
      <c r="AG32" s="21">
        <f>Assumptions!$B$15*Assumptions!$B$36*(IF(AG5&lt;=0,0,IF(AG5&lt;=5,Assumptions!$C$36/5*AG5,IF(AG5&lt;=10,Assumptions!$C$36+(Assumptions!$D$36-Assumptions!$C$36)*(AG5-5)/5,Assumptions!$D$36))))*365*(1+Assumptions!$B$75)*Assumptions!$E$36*(1+Assumptions!$B$71)^(AG3-1)/1000000*Assumptions!$B$80</f>
        <v>1.372499859215041</v>
      </c>
    </row>
    <row r="33" spans="1:33" ht="15" customHeight="1" x14ac:dyDescent="0.3">
      <c r="A33" s="9" t="s">
        <v>159</v>
      </c>
      <c r="D33" s="21">
        <f>Assumptions!$B$16*Assumptions!$B$37*(IF(D6&lt;=0,0,IF(D6&lt;=5,Assumptions!$C$37/5*D6,IF(D6&lt;=10,Assumptions!$C$37+(Assumptions!$D$37-Assumptions!$C$37)*(D6-5)/5,Assumptions!$D$37))))*365*(1+Assumptions!$B$75)*Assumptions!$E$37*(1+Assumptions!$B$71)^(D3-1)/1000000*Assumptions!$B$80</f>
        <v>0</v>
      </c>
      <c r="E33" s="21">
        <f>Assumptions!$B$16*Assumptions!$B$37*(IF(E6&lt;=0,0,IF(E6&lt;=5,Assumptions!$C$37/5*E6,IF(E6&lt;=10,Assumptions!$C$37+(Assumptions!$D$37-Assumptions!$C$37)*(E6-5)/5,Assumptions!$D$37))))*365*(1+Assumptions!$B$75)*Assumptions!$E$37*(1+Assumptions!$B$71)^(E3-1)/1000000*Assumptions!$B$80</f>
        <v>0</v>
      </c>
      <c r="F33" s="21">
        <f>Assumptions!$B$16*Assumptions!$B$37*(IF(F6&lt;=0,0,IF(F6&lt;=5,Assumptions!$C$37/5*F6,IF(F6&lt;=10,Assumptions!$C$37+(Assumptions!$D$37-Assumptions!$C$37)*(F6-5)/5,Assumptions!$D$37))))*365*(1+Assumptions!$B$75)*Assumptions!$E$37*(1+Assumptions!$B$71)^(F3-1)/1000000*Assumptions!$B$80</f>
        <v>0</v>
      </c>
      <c r="G33" s="21">
        <f>Assumptions!$B$16*Assumptions!$B$37*(IF(G6&lt;=0,0,IF(G6&lt;=5,Assumptions!$C$37/5*G6,IF(G6&lt;=10,Assumptions!$C$37+(Assumptions!$D$37-Assumptions!$C$37)*(G6-5)/5,Assumptions!$D$37))))*365*(1+Assumptions!$B$75)*Assumptions!$E$37*(1+Assumptions!$B$71)^(G3-1)/1000000*Assumptions!$B$80</f>
        <v>0.17334169945312497</v>
      </c>
      <c r="H33" s="21">
        <f>Assumptions!$B$16*Assumptions!$B$37*(IF(H6&lt;=0,0,IF(H6&lt;=5,Assumptions!$C$37/5*H6,IF(H6&lt;=10,Assumptions!$C$37+(Assumptions!$D$37-Assumptions!$C$37)*(H6-5)/5,Assumptions!$D$37))))*365*(1+Assumptions!$B$75)*Assumptions!$E$37*(1+Assumptions!$B$71)^(H3-1)/1000000*Assumptions!$B$80</f>
        <v>0.35535048387890616</v>
      </c>
      <c r="I33" s="21">
        <f>Assumptions!$B$16*Assumptions!$B$37*(IF(I6&lt;=0,0,IF(I6&lt;=5,Assumptions!$C$37/5*I6,IF(I6&lt;=10,Assumptions!$C$37+(Assumptions!$D$37-Assumptions!$C$37)*(I6-5)/5,Assumptions!$D$37))))*365*(1+Assumptions!$B$75)*Assumptions!$E$37*(1+Assumptions!$B$71)^(I3-1)/1000000*Assumptions!$B$80</f>
        <v>0.5463513689638182</v>
      </c>
      <c r="J33" s="21">
        <f>Assumptions!$B$16*Assumptions!$B$37*(IF(J6&lt;=0,0,IF(J6&lt;=5,Assumptions!$C$37/5*J6,IF(J6&lt;=10,Assumptions!$C$37+(Assumptions!$D$37-Assumptions!$C$37)*(J6-5)/5,Assumptions!$D$37))))*365*(1+Assumptions!$B$75)*Assumptions!$E$37*(1+Assumptions!$B$71)^(J3-1)/1000000*Assumptions!$B$80</f>
        <v>0.74668020425055148</v>
      </c>
      <c r="K33" s="21">
        <f>Assumptions!$B$16*Assumptions!$B$37*(IF(K6&lt;=0,0,IF(K6&lt;=5,Assumptions!$C$37/5*K6,IF(K6&lt;=10,Assumptions!$C$37+(Assumptions!$D$37-Assumptions!$C$37)*(K6-5)/5,Assumptions!$D$37))))*365*(1+Assumptions!$B$75)*Assumptions!$E$37*(1+Assumptions!$B$71)^(K3-1)/1000000*Assumptions!$B$80</f>
        <v>0.95668401169601902</v>
      </c>
      <c r="L33" s="21">
        <f>Assumptions!$B$16*Assumptions!$B$37*(IF(L6&lt;=0,0,IF(L6&lt;=5,Assumptions!$C$37/5*L6,IF(L6&lt;=10,Assumptions!$C$37+(Assumptions!$D$37-Assumptions!$C$37)*(L6-5)/5,Assumptions!$D$37))))*365*(1+Assumptions!$B$75)*Assumptions!$E$37*(1+Assumptions!$B$71)^(L3-1)/1000000*Assumptions!$B$80</f>
        <v>1.1031762509869718</v>
      </c>
      <c r="M33" s="21">
        <f>Assumptions!$B$16*Assumptions!$B$37*(IF(M6&lt;=0,0,IF(M6&lt;=5,Assumptions!$C$37/5*M6,IF(M6&lt;=10,Assumptions!$C$37+(Assumptions!$D$37-Assumptions!$C$37)*(M6-5)/5,Assumptions!$D$37))))*365*(1+Assumptions!$B$75)*Assumptions!$E$37*(1+Assumptions!$B$71)^(M3-1)/1000000*Assumptions!$B$80</f>
        <v>1.2563951747351623</v>
      </c>
      <c r="N33" s="21">
        <f>Assumptions!$B$16*Assumptions!$B$37*(IF(N6&lt;=0,0,IF(N6&lt;=5,Assumptions!$C$37/5*N6,IF(N6&lt;=10,Assumptions!$C$37+(Assumptions!$D$37-Assumptions!$C$37)*(N6-5)/5,Assumptions!$D$37))))*365*(1+Assumptions!$B$75)*Assumptions!$E$37*(1+Assumptions!$B$71)^(N3-1)/1000000*Assumptions!$B$80</f>
        <v>1.4165855595138956</v>
      </c>
      <c r="O33" s="21">
        <f>Assumptions!$B$16*Assumptions!$B$37*(IF(O6&lt;=0,0,IF(O6&lt;=5,Assumptions!$C$37/5*O6,IF(O6&lt;=10,Assumptions!$C$37+(Assumptions!$D$37-Assumptions!$C$37)*(O6-5)/5,Assumptions!$D$37))))*365*(1+Assumptions!$B$75)*Assumptions!$E$37*(1+Assumptions!$B$71)^(O3-1)/1000000*Assumptions!$B$80</f>
        <v>1.5840002165473561</v>
      </c>
      <c r="P33" s="21">
        <f>Assumptions!$B$16*Assumptions!$B$37*(IF(P6&lt;=0,0,IF(P6&lt;=5,Assumptions!$C$37/5*P6,IF(P6&lt;=10,Assumptions!$C$37+(Assumptions!$D$37-Assumptions!$C$37)*(P6-5)/5,Assumptions!$D$37))))*365*(1+Assumptions!$B$75)*Assumptions!$E$37*(1+Assumptions!$B$71)^(P3-1)/1000000*Assumptions!$B$80</f>
        <v>1.7589002404577929</v>
      </c>
      <c r="Q33" s="21">
        <f>Assumptions!$B$16*Assumptions!$B$37*(IF(Q6&lt;=0,0,IF(Q6&lt;=5,Assumptions!$C$37/5*Q6,IF(Q6&lt;=10,Assumptions!$C$37+(Assumptions!$D$37-Assumptions!$C$37)*(Q6-5)/5,Assumptions!$D$37))))*365*(1+Assumptions!$B$75)*Assumptions!$E$37*(1+Assumptions!$B$71)^(Q3-1)/1000000*Assumptions!$B$80</f>
        <v>1.8028727464692376</v>
      </c>
      <c r="R33" s="21">
        <f>Assumptions!$B$16*Assumptions!$B$37*(IF(R6&lt;=0,0,IF(R6&lt;=5,Assumptions!$C$37/5*R6,IF(R6&lt;=10,Assumptions!$C$37+(Assumptions!$D$37-Assumptions!$C$37)*(R6-5)/5,Assumptions!$D$37))))*365*(1+Assumptions!$B$75)*Assumptions!$E$37*(1+Assumptions!$B$71)^(R3-1)/1000000*Assumptions!$B$80</f>
        <v>1.8479445651309681</v>
      </c>
      <c r="S33" s="21">
        <f>Assumptions!$B$16*Assumptions!$B$37*(IF(S6&lt;=0,0,IF(S6&lt;=5,Assumptions!$C$37/5*S6,IF(S6&lt;=10,Assumptions!$C$37+(Assumptions!$D$37-Assumptions!$C$37)*(S6-5)/5,Assumptions!$D$37))))*365*(1+Assumptions!$B$75)*Assumptions!$E$37*(1+Assumptions!$B$71)^(S3-1)/1000000*Assumptions!$B$80</f>
        <v>1.8941431792592425</v>
      </c>
      <c r="T33" s="21">
        <f>Assumptions!$B$16*Assumptions!$B$37*(IF(T6&lt;=0,0,IF(T6&lt;=5,Assumptions!$C$37/5*T6,IF(T6&lt;=10,Assumptions!$C$37+(Assumptions!$D$37-Assumptions!$C$37)*(T6-5)/5,Assumptions!$D$37))))*365*(1+Assumptions!$B$75)*Assumptions!$E$37*(1+Assumptions!$B$71)^(T3-1)/1000000*Assumptions!$B$80</f>
        <v>1.9414967587407235</v>
      </c>
      <c r="U33" s="21">
        <f>Assumptions!$B$16*Assumptions!$B$37*(IF(U6&lt;=0,0,IF(U6&lt;=5,Assumptions!$C$37/5*U6,IF(U6&lt;=10,Assumptions!$C$37+(Assumptions!$D$37-Assumptions!$C$37)*(U6-5)/5,Assumptions!$D$37))))*365*(1+Assumptions!$B$75)*Assumptions!$E$37*(1+Assumptions!$B$71)^(U3-1)/1000000*Assumptions!$B$80</f>
        <v>1.9900341777092414</v>
      </c>
      <c r="V33" s="21">
        <f>Assumptions!$B$16*Assumptions!$B$37*(IF(V6&lt;=0,0,IF(V6&lt;=5,Assumptions!$C$37/5*V6,IF(V6&lt;=10,Assumptions!$C$37+(Assumptions!$D$37-Assumptions!$C$37)*(V6-5)/5,Assumptions!$D$37))))*365*(1+Assumptions!$B$75)*Assumptions!$E$37*(1+Assumptions!$B$71)^(V3-1)/1000000*Assumptions!$B$80</f>
        <v>2.0397850321519728</v>
      </c>
      <c r="W33" s="21">
        <f>Assumptions!$B$16*Assumptions!$B$37*(IF(W6&lt;=0,0,IF(W6&lt;=5,Assumptions!$C$37/5*W6,IF(W6&lt;=10,Assumptions!$C$37+(Assumptions!$D$37-Assumptions!$C$37)*(W6-5)/5,Assumptions!$D$37))))*365*(1+Assumptions!$B$75)*Assumptions!$E$37*(1+Assumptions!$B$71)^(W3-1)/1000000*Assumptions!$B$80</f>
        <v>2.0907796579557725</v>
      </c>
      <c r="X33" s="21">
        <f>Assumptions!$B$16*Assumptions!$B$37*(IF(X6&lt;=0,0,IF(X6&lt;=5,Assumptions!$C$37/5*X6,IF(X6&lt;=10,Assumptions!$C$37+(Assumptions!$D$37-Assumptions!$C$37)*(X6-5)/5,Assumptions!$D$37))))*365*(1+Assumptions!$B$75)*Assumptions!$E$37*(1+Assumptions!$B$71)^(X3-1)/1000000*Assumptions!$B$80</f>
        <v>2.143049149404666</v>
      </c>
      <c r="Y33" s="21">
        <f>Assumptions!$B$16*Assumptions!$B$37*(IF(Y6&lt;=0,0,IF(Y6&lt;=5,Assumptions!$C$37/5*Y6,IF(Y6&lt;=10,Assumptions!$C$37+(Assumptions!$D$37-Assumptions!$C$37)*(Y6-5)/5,Assumptions!$D$37))))*365*(1+Assumptions!$B$75)*Assumptions!$E$37*(1+Assumptions!$B$71)^(Y3-1)/1000000*Assumptions!$B$80</f>
        <v>2.1966253781397822</v>
      </c>
      <c r="Z33" s="21">
        <f>Assumptions!$B$16*Assumptions!$B$37*(IF(Z6&lt;=0,0,IF(Z6&lt;=5,Assumptions!$C$37/5*Z6,IF(Z6&lt;=10,Assumptions!$C$37+(Assumptions!$D$37-Assumptions!$C$37)*(Z6-5)/5,Assumptions!$D$37))))*365*(1+Assumptions!$B$75)*Assumptions!$E$37*(1+Assumptions!$B$71)^(Z3-1)/1000000*Assumptions!$B$80</f>
        <v>2.2515410125932771</v>
      </c>
      <c r="AA33" s="21">
        <f>Assumptions!$B$16*Assumptions!$B$37*(IF(AA6&lt;=0,0,IF(AA6&lt;=5,Assumptions!$C$37/5*AA6,IF(AA6&lt;=10,Assumptions!$C$37+(Assumptions!$D$37-Assumptions!$C$37)*(AA6-5)/5,Assumptions!$D$37))))*365*(1+Assumptions!$B$75)*Assumptions!$E$37*(1+Assumptions!$B$71)^(AA3-1)/1000000*Assumptions!$B$80</f>
        <v>2.3078295379081091</v>
      </c>
      <c r="AB33" s="21">
        <f>Assumptions!$B$16*Assumptions!$B$37*(IF(AB6&lt;=0,0,IF(AB6&lt;=5,Assumptions!$C$37/5*AB6,IF(AB6&lt;=10,Assumptions!$C$37+(Assumptions!$D$37-Assumptions!$C$37)*(AB6-5)/5,Assumptions!$D$37))))*365*(1+Assumptions!$B$75)*Assumptions!$E$37*(1+Assumptions!$B$71)^(AB3-1)/1000000*Assumptions!$B$80</f>
        <v>2.3655252763558114</v>
      </c>
      <c r="AC33" s="21">
        <f>Assumptions!$B$16*Assumptions!$B$37*(IF(AC6&lt;=0,0,IF(AC6&lt;=5,Assumptions!$C$37/5*AC6,IF(AC6&lt;=10,Assumptions!$C$37+(Assumptions!$D$37-Assumptions!$C$37)*(AC6-5)/5,Assumptions!$D$37))))*365*(1+Assumptions!$B$75)*Assumptions!$E$37*(1+Assumptions!$B$71)^(AC3-1)/1000000*Assumptions!$B$80</f>
        <v>2.4246634082647067</v>
      </c>
      <c r="AD33" s="21">
        <f>Assumptions!$B$16*Assumptions!$B$37*(IF(AD6&lt;=0,0,IF(AD6&lt;=5,Assumptions!$C$37/5*AD6,IF(AD6&lt;=10,Assumptions!$C$37+(Assumptions!$D$37-Assumptions!$C$37)*(AD6-5)/5,Assumptions!$D$37))))*365*(1+Assumptions!$B$75)*Assumptions!$E$37*(1+Assumptions!$B$71)^(AD3-1)/1000000*Assumptions!$B$80</f>
        <v>2.4852799934713237</v>
      </c>
      <c r="AE33" s="21">
        <f>Assumptions!$B$16*Assumptions!$B$37*(IF(AE6&lt;=0,0,IF(AE6&lt;=5,Assumptions!$C$37/5*AE6,IF(AE6&lt;=10,Assumptions!$C$37+(Assumptions!$D$37-Assumptions!$C$37)*(AE6-5)/5,Assumptions!$D$37))))*365*(1+Assumptions!$B$75)*Assumptions!$E$37*(1+Assumptions!$B$71)^(AE3-1)/1000000*Assumptions!$B$80</f>
        <v>2.5474119933081067</v>
      </c>
      <c r="AF33" s="21">
        <f>Assumptions!$B$16*Assumptions!$B$37*(IF(AF6&lt;=0,0,IF(AF6&lt;=5,Assumptions!$C$37/5*AF6,IF(AF6&lt;=10,Assumptions!$C$37+(Assumptions!$D$37-Assumptions!$C$37)*(AF6-5)/5,Assumptions!$D$37))))*365*(1+Assumptions!$B$75)*Assumptions!$E$37*(1+Assumptions!$B$71)^(AF3-1)/1000000*Assumptions!$B$80</f>
        <v>2.6110972931408094</v>
      </c>
      <c r="AG33" s="21">
        <f>Assumptions!$B$16*Assumptions!$B$37*(IF(AG6&lt;=0,0,IF(AG6&lt;=5,Assumptions!$C$37/5*AG6,IF(AG6&lt;=10,Assumptions!$C$37+(Assumptions!$D$37-Assumptions!$C$37)*(AG6-5)/5,Assumptions!$D$37))))*365*(1+Assumptions!$B$75)*Assumptions!$E$37*(1+Assumptions!$B$71)^(AG3-1)/1000000*Assumptions!$B$80</f>
        <v>2.67637472546933</v>
      </c>
    </row>
    <row r="34" spans="1:33" ht="15" customHeight="1" x14ac:dyDescent="0.3">
      <c r="A34" s="9" t="s">
        <v>160</v>
      </c>
      <c r="D34" s="21">
        <f>Assumptions!$B$17*Assumptions!$B$38*(IF(D6&lt;=0,0,IF(D6&lt;=5,Assumptions!$C$38/5*D6,IF(D6&lt;=10,Assumptions!$C$38+(Assumptions!$D$38-Assumptions!$C$38)*(D6-5)/5,Assumptions!$D$38))))*365*(1+Assumptions!$B$75)*Assumptions!$E$38*(1+Assumptions!$B$71)^(D3-1)/1000000*Assumptions!$B$80</f>
        <v>0</v>
      </c>
      <c r="E34" s="21">
        <f>Assumptions!$B$17*Assumptions!$B$38*(IF(E6&lt;=0,0,IF(E6&lt;=5,Assumptions!$C$38/5*E6,IF(E6&lt;=10,Assumptions!$C$38+(Assumptions!$D$38-Assumptions!$C$38)*(E6-5)/5,Assumptions!$D$38))))*365*(1+Assumptions!$B$75)*Assumptions!$E$38*(1+Assumptions!$B$71)^(E3-1)/1000000*Assumptions!$B$80</f>
        <v>0</v>
      </c>
      <c r="F34" s="21">
        <f>Assumptions!$B$17*Assumptions!$B$38*(IF(F6&lt;=0,0,IF(F6&lt;=5,Assumptions!$C$38/5*F6,IF(F6&lt;=10,Assumptions!$C$38+(Assumptions!$D$38-Assumptions!$C$38)*(F6-5)/5,Assumptions!$D$38))))*365*(1+Assumptions!$B$75)*Assumptions!$E$38*(1+Assumptions!$B$71)^(F3-1)/1000000*Assumptions!$B$80</f>
        <v>0</v>
      </c>
      <c r="G34" s="21">
        <f>Assumptions!$B$17*Assumptions!$B$38*(IF(G6&lt;=0,0,IF(G6&lt;=5,Assumptions!$C$38/5*G6,IF(G6&lt;=10,Assumptions!$C$38+(Assumptions!$D$38-Assumptions!$C$38)*(G6-5)/5,Assumptions!$D$38))))*365*(1+Assumptions!$B$75)*Assumptions!$E$38*(1+Assumptions!$B$71)^(G3-1)/1000000*Assumptions!$B$80</f>
        <v>0.11556113296874998</v>
      </c>
      <c r="H34" s="21">
        <f>Assumptions!$B$17*Assumptions!$B$38*(IF(H6&lt;=0,0,IF(H6&lt;=5,Assumptions!$C$38/5*H6,IF(H6&lt;=10,Assumptions!$C$38+(Assumptions!$D$38-Assumptions!$C$38)*(H6-5)/5,Assumptions!$D$38))))*365*(1+Assumptions!$B$75)*Assumptions!$E$38*(1+Assumptions!$B$71)^(H3-1)/1000000*Assumptions!$B$80</f>
        <v>0.23690032258593743</v>
      </c>
      <c r="I34" s="21">
        <f>Assumptions!$B$17*Assumptions!$B$38*(IF(I6&lt;=0,0,IF(I6&lt;=5,Assumptions!$C$38/5*I6,IF(I6&lt;=10,Assumptions!$C$38+(Assumptions!$D$38-Assumptions!$C$38)*(I6-5)/5,Assumptions!$D$38))))*365*(1+Assumptions!$B$75)*Assumptions!$E$38*(1+Assumptions!$B$71)^(I3-1)/1000000*Assumptions!$B$80</f>
        <v>0.36423424597587872</v>
      </c>
      <c r="J34" s="21">
        <f>Assumptions!$B$17*Assumptions!$B$38*(IF(J6&lt;=0,0,IF(J6&lt;=5,Assumptions!$C$38/5*J6,IF(J6&lt;=10,Assumptions!$C$38+(Assumptions!$D$38-Assumptions!$C$38)*(J6-5)/5,Assumptions!$D$38))))*365*(1+Assumptions!$B$75)*Assumptions!$E$38*(1+Assumptions!$B$71)^(J3-1)/1000000*Assumptions!$B$80</f>
        <v>0.49778680283370086</v>
      </c>
      <c r="K34" s="21">
        <f>Assumptions!$B$17*Assumptions!$B$38*(IF(K6&lt;=0,0,IF(K6&lt;=5,Assumptions!$C$38/5*K6,IF(K6&lt;=10,Assumptions!$C$38+(Assumptions!$D$38-Assumptions!$C$38)*(K6-5)/5,Assumptions!$D$38))))*365*(1+Assumptions!$B$75)*Assumptions!$E$38*(1+Assumptions!$B$71)^(K3-1)/1000000*Assumptions!$B$80</f>
        <v>0.63778934113067942</v>
      </c>
      <c r="L34" s="21">
        <f>Assumptions!$B$17*Assumptions!$B$38*(IF(L6&lt;=0,0,IF(L6&lt;=5,Assumptions!$C$38/5*L6,IF(L6&lt;=10,Assumptions!$C$38+(Assumptions!$D$38-Assumptions!$C$38)*(L6-5)/5,Assumptions!$D$38))))*365*(1+Assumptions!$B$75)*Assumptions!$E$38*(1+Assumptions!$B$71)^(L3-1)/1000000*Assumptions!$B$80</f>
        <v>0.74712465675308137</v>
      </c>
      <c r="M34" s="21">
        <f>Assumptions!$B$17*Assumptions!$B$38*(IF(M6&lt;=0,0,IF(M6&lt;=5,Assumptions!$C$38/5*M6,IF(M6&lt;=10,Assumptions!$C$38+(Assumptions!$D$38-Assumptions!$C$38)*(M6-5)/5,Assumptions!$D$38))))*365*(1+Assumptions!$B$75)*Assumptions!$E$38*(1+Assumptions!$B$71)^(M3-1)/1000000*Assumptions!$B$80</f>
        <v>0.86152811981839694</v>
      </c>
      <c r="N34" s="21">
        <f>Assumptions!$B$17*Assumptions!$B$38*(IF(N6&lt;=0,0,IF(N6&lt;=5,Assumptions!$C$38/5*N6,IF(N6&lt;=10,Assumptions!$C$38+(Assumptions!$D$38-Assumptions!$C$38)*(N6-5)/5,Assumptions!$D$38))))*365*(1+Assumptions!$B$75)*Assumptions!$E$38*(1+Assumptions!$B$71)^(N3-1)/1000000*Assumptions!$B$80</f>
        <v>0.9811848031265078</v>
      </c>
      <c r="O34" s="21">
        <f>Assumptions!$B$17*Assumptions!$B$38*(IF(O6&lt;=0,0,IF(O6&lt;=5,Assumptions!$C$38/5*O6,IF(O6&lt;=10,Assumptions!$C$38+(Assumptions!$D$38-Assumptions!$C$38)*(O6-5)/5,Assumptions!$D$38))))*365*(1+Assumptions!$B$75)*Assumptions!$E$38*(1+Assumptions!$B$71)^(O3-1)/1000000*Assumptions!$B$80</f>
        <v>1.1062858655251375</v>
      </c>
      <c r="P34" s="21">
        <f>Assumptions!$B$17*Assumptions!$B$38*(IF(P6&lt;=0,0,IF(P6&lt;=5,Assumptions!$C$38/5*P6,IF(P6&lt;=10,Assumptions!$C$38+(Assumptions!$D$38-Assumptions!$C$38)*(P6-5)/5,Assumptions!$D$38))))*365*(1+Assumptions!$B$75)*Assumptions!$E$38*(1+Assumptions!$B$71)^(P3-1)/1000000*Assumptions!$B$80</f>
        <v>1.2370287405417444</v>
      </c>
      <c r="Q34" s="21">
        <f>Assumptions!$B$17*Assumptions!$B$38*(IF(Q6&lt;=0,0,IF(Q6&lt;=5,Assumptions!$C$38/5*Q6,IF(Q6&lt;=10,Assumptions!$C$38+(Assumptions!$D$38-Assumptions!$C$38)*(Q6-5)/5,Assumptions!$D$38))))*365*(1+Assumptions!$B$75)*Assumptions!$E$38*(1+Assumptions!$B$71)^(Q3-1)/1000000*Assumptions!$B$80</f>
        <v>1.267954459055288</v>
      </c>
      <c r="R34" s="21">
        <f>Assumptions!$B$17*Assumptions!$B$38*(IF(R6&lt;=0,0,IF(R6&lt;=5,Assumptions!$C$38/5*R6,IF(R6&lt;=10,Assumptions!$C$38+(Assumptions!$D$38-Assumptions!$C$38)*(R6-5)/5,Assumptions!$D$38))))*365*(1+Assumptions!$B$75)*Assumptions!$E$38*(1+Assumptions!$B$71)^(R3-1)/1000000*Assumptions!$B$80</f>
        <v>1.29965332053167</v>
      </c>
      <c r="S34" s="21">
        <f>Assumptions!$B$17*Assumptions!$B$38*(IF(S6&lt;=0,0,IF(S6&lt;=5,Assumptions!$C$38/5*S6,IF(S6&lt;=10,Assumptions!$C$38+(Assumptions!$D$38-Assumptions!$C$38)*(S6-5)/5,Assumptions!$D$38))))*365*(1+Assumptions!$B$75)*Assumptions!$E$38*(1+Assumptions!$B$71)^(S3-1)/1000000*Assumptions!$B$80</f>
        <v>1.3321446535449619</v>
      </c>
      <c r="T34" s="21">
        <f>Assumptions!$B$17*Assumptions!$B$38*(IF(T6&lt;=0,0,IF(T6&lt;=5,Assumptions!$C$38/5*T6,IF(T6&lt;=10,Assumptions!$C$38+(Assumptions!$D$38-Assumptions!$C$38)*(T6-5)/5,Assumptions!$D$38))))*365*(1+Assumptions!$B$75)*Assumptions!$E$38*(1+Assumptions!$B$71)^(T3-1)/1000000*Assumptions!$B$80</f>
        <v>1.3654482698835859</v>
      </c>
      <c r="U34" s="21">
        <f>Assumptions!$B$17*Assumptions!$B$38*(IF(U6&lt;=0,0,IF(U6&lt;=5,Assumptions!$C$38/5*U6,IF(U6&lt;=10,Assumptions!$C$38+(Assumptions!$D$38-Assumptions!$C$38)*(U6-5)/5,Assumptions!$D$38))))*365*(1+Assumptions!$B$75)*Assumptions!$E$38*(1+Assumptions!$B$71)^(U3-1)/1000000*Assumptions!$B$80</f>
        <v>1.3995844766306755</v>
      </c>
      <c r="V34" s="21">
        <f>Assumptions!$B$17*Assumptions!$B$38*(IF(V6&lt;=0,0,IF(V6&lt;=5,Assumptions!$C$38/5*V6,IF(V6&lt;=10,Assumptions!$C$38+(Assumptions!$D$38-Assumptions!$C$38)*(V6-5)/5,Assumptions!$D$38))))*365*(1+Assumptions!$B$75)*Assumptions!$E$38*(1+Assumptions!$B$71)^(V3-1)/1000000*Assumptions!$B$80</f>
        <v>1.4345740885464424</v>
      </c>
      <c r="W34" s="21">
        <f>Assumptions!$B$17*Assumptions!$B$38*(IF(W6&lt;=0,0,IF(W6&lt;=5,Assumptions!$C$38/5*W6,IF(W6&lt;=10,Assumptions!$C$38+(Assumptions!$D$38-Assumptions!$C$38)*(W6-5)/5,Assumptions!$D$38))))*365*(1+Assumptions!$B$75)*Assumptions!$E$38*(1+Assumptions!$B$71)^(W3-1)/1000000*Assumptions!$B$80</f>
        <v>1.4704384407601034</v>
      </c>
      <c r="X34" s="21">
        <f>Assumptions!$B$17*Assumptions!$B$38*(IF(X6&lt;=0,0,IF(X6&lt;=5,Assumptions!$C$38/5*X6,IF(X6&lt;=10,Assumptions!$C$38+(Assumptions!$D$38-Assumptions!$C$38)*(X6-5)/5,Assumptions!$D$38))))*365*(1+Assumptions!$B$75)*Assumptions!$E$38*(1+Assumptions!$B$71)^(X3-1)/1000000*Assumptions!$B$80</f>
        <v>1.5071994017791057</v>
      </c>
      <c r="Y34" s="21">
        <f>Assumptions!$B$17*Assumptions!$B$38*(IF(Y6&lt;=0,0,IF(Y6&lt;=5,Assumptions!$C$38/5*Y6,IF(Y6&lt;=10,Assumptions!$C$38+(Assumptions!$D$38-Assumptions!$C$38)*(Y6-5)/5,Assumptions!$D$38))))*365*(1+Assumptions!$B$75)*Assumptions!$E$38*(1+Assumptions!$B$71)^(Y3-1)/1000000*Assumptions!$B$80</f>
        <v>1.5448793868235833</v>
      </c>
      <c r="Z34" s="21">
        <f>Assumptions!$B$17*Assumptions!$B$38*(IF(Z6&lt;=0,0,IF(Z6&lt;=5,Assumptions!$C$38/5*Z6,IF(Z6&lt;=10,Assumptions!$C$38+(Assumptions!$D$38-Assumptions!$C$38)*(Z6-5)/5,Assumptions!$D$38))))*365*(1+Assumptions!$B$75)*Assumptions!$E$38*(1+Assumptions!$B$71)^(Z3-1)/1000000*Assumptions!$B$80</f>
        <v>1.5835013714941728</v>
      </c>
      <c r="AA34" s="21">
        <f>Assumptions!$B$17*Assumptions!$B$38*(IF(AA6&lt;=0,0,IF(AA6&lt;=5,Assumptions!$C$38/5*AA6,IF(AA6&lt;=10,Assumptions!$C$38+(Assumptions!$D$38-Assumptions!$C$38)*(AA6-5)/5,Assumptions!$D$38))))*365*(1+Assumptions!$B$75)*Assumptions!$E$38*(1+Assumptions!$B$71)^(AA3-1)/1000000*Assumptions!$B$80</f>
        <v>1.6230889057815272</v>
      </c>
      <c r="AB34" s="21">
        <f>Assumptions!$B$17*Assumptions!$B$38*(IF(AB6&lt;=0,0,IF(AB6&lt;=5,Assumptions!$C$38/5*AB6,IF(AB6&lt;=10,Assumptions!$C$38+(Assumptions!$D$38-Assumptions!$C$38)*(AB6-5)/5,Assumptions!$D$38))))*365*(1+Assumptions!$B$75)*Assumptions!$E$38*(1+Assumptions!$B$71)^(AB3-1)/1000000*Assumptions!$B$80</f>
        <v>1.6636661284260652</v>
      </c>
      <c r="AC34" s="21">
        <f>Assumptions!$B$17*Assumptions!$B$38*(IF(AC6&lt;=0,0,IF(AC6&lt;=5,Assumptions!$C$38/5*AC6,IF(AC6&lt;=10,Assumptions!$C$38+(Assumptions!$D$38-Assumptions!$C$38)*(AC6-5)/5,Assumptions!$D$38))))*365*(1+Assumptions!$B$75)*Assumptions!$E$38*(1+Assumptions!$B$71)^(AC3-1)/1000000*Assumptions!$B$80</f>
        <v>1.7052577816367167</v>
      </c>
      <c r="AD34" s="21">
        <f>Assumptions!$B$17*Assumptions!$B$38*(IF(AD6&lt;=0,0,IF(AD6&lt;=5,Assumptions!$C$38/5*AD6,IF(AD6&lt;=10,Assumptions!$C$38+(Assumptions!$D$38-Assumptions!$C$38)*(AD6-5)/5,Assumptions!$D$38))))*365*(1+Assumptions!$B$75)*Assumptions!$E$38*(1+Assumptions!$B$71)^(AD3-1)/1000000*Assumptions!$B$80</f>
        <v>1.7478892261776344</v>
      </c>
      <c r="AE34" s="21">
        <f>Assumptions!$B$17*Assumptions!$B$38*(IF(AE6&lt;=0,0,IF(AE6&lt;=5,Assumptions!$C$38/5*AE6,IF(AE6&lt;=10,Assumptions!$C$38+(Assumptions!$D$38-Assumptions!$C$38)*(AE6-5)/5,Assumptions!$D$38))))*365*(1+Assumptions!$B$75)*Assumptions!$E$38*(1+Assumptions!$B$71)^(AE3-1)/1000000*Assumptions!$B$80</f>
        <v>1.7915864568320752</v>
      </c>
      <c r="AF34" s="21">
        <f>Assumptions!$B$17*Assumptions!$B$38*(IF(AF6&lt;=0,0,IF(AF6&lt;=5,Assumptions!$C$38/5*AF6,IF(AF6&lt;=10,Assumptions!$C$38+(Assumptions!$D$38-Assumptions!$C$38)*(AF6-5)/5,Assumptions!$D$38))))*365*(1+Assumptions!$B$75)*Assumptions!$E$38*(1+Assumptions!$B$71)^(AF3-1)/1000000*Assumptions!$B$80</f>
        <v>1.8363761182528771</v>
      </c>
      <c r="AG34" s="21">
        <f>Assumptions!$B$17*Assumptions!$B$38*(IF(AG6&lt;=0,0,IF(AG6&lt;=5,Assumptions!$C$38/5*AG6,IF(AG6&lt;=10,Assumptions!$C$38+(Assumptions!$D$38-Assumptions!$C$38)*(AG6-5)/5,Assumptions!$D$38))))*365*(1+Assumptions!$B$75)*Assumptions!$E$38*(1+Assumptions!$B$71)^(AG3-1)/1000000*Assumptions!$B$80</f>
        <v>1.8822855212091991</v>
      </c>
    </row>
    <row r="35" spans="1:33" ht="15" customHeight="1" x14ac:dyDescent="0.3">
      <c r="A35" s="9" t="s">
        <v>161</v>
      </c>
      <c r="D35" s="21">
        <f>IF(D3&lt;3,0,IF(D3&lt;=10,Assumptions!$B$42+(Assumptions!$B$43-Assumptions!$B$42)*(D3-3)/7,Assumptions!$B$43))*Assumptions!$B$44*12*(1+Assumptions!$B$75)*(1+Assumptions!$B$71)^(D3-1)/1000000</f>
        <v>0</v>
      </c>
      <c r="E35" s="21">
        <f>IF(E3&lt;3,0,IF(E3&lt;=10,Assumptions!$B$42+(Assumptions!$B$43-Assumptions!$B$42)*(E3-3)/7,Assumptions!$B$43))*Assumptions!$B$44*12*(1+Assumptions!$B$75)*(1+Assumptions!$B$71)^(E3-1)/1000000</f>
        <v>0</v>
      </c>
      <c r="F35" s="21">
        <f>IF(F3&lt;3,0,IF(F3&lt;=10,Assumptions!$B$42+(Assumptions!$B$43-Assumptions!$B$42)*(F3-3)/7,Assumptions!$B$43))*Assumptions!$B$44*12*(1+Assumptions!$B$75)*(1+Assumptions!$B$71)^(F3-1)/1000000</f>
        <v>2.0487187499999999</v>
      </c>
      <c r="G35" s="21">
        <f>IF(G3&lt;3,0,IF(G3&lt;=10,Assumptions!$B$42+(Assumptions!$B$43-Assumptions!$B$42)*(G3-3)/7,Assumptions!$B$43))*Assumptions!$B$44*12*(1+Assumptions!$B$75)*(1+Assumptions!$B$71)^(G3-1)/1000000</f>
        <v>2.639920446428571</v>
      </c>
      <c r="H35" s="21">
        <f>IF(H3&lt;3,0,IF(H3&lt;=10,Assumptions!$B$42+(Assumptions!$B$43-Assumptions!$B$42)*(H3-3)/7,Assumptions!$B$43))*Assumptions!$B$44*12*(1+Assumptions!$B$75)*(1+Assumptions!$B$71)^(H3-1)/1000000</f>
        <v>3.259401778459821</v>
      </c>
      <c r="I35" s="21">
        <f>IF(I3&lt;3,0,IF(I3&lt;=10,Assumptions!$B$42+(Assumptions!$B$43-Assumptions!$B$42)*(I3-3)/7,Assumptions!$B$43))*Assumptions!$B$44*12*(1+Assumptions!$B$75)*(1+Assumptions!$B$71)^(I3-1)/1000000</f>
        <v>3.908207226813615</v>
      </c>
      <c r="J35" s="21">
        <f>IF(J3&lt;3,0,IF(J3&lt;=10,Assumptions!$B$42+(Assumptions!$B$43-Assumptions!$B$42)*(J3-3)/7,Assumptions!$B$43))*Assumptions!$B$44*12*(1+Assumptions!$B$75)*(1+Assumptions!$B$71)^(J3-1)/1000000</f>
        <v>4.5874158214735612</v>
      </c>
      <c r="K35" s="21">
        <f>IF(K3&lt;3,0,IF(K3&lt;=10,Assumptions!$B$42+(Assumptions!$B$43-Assumptions!$B$42)*(K3-3)/7,Assumptions!$B$43))*Assumptions!$B$44*12*(1+Assumptions!$B$75)*(1+Assumptions!$B$71)^(K3-1)/1000000</f>
        <v>5.2981422163497474</v>
      </c>
      <c r="L35" s="21">
        <f>IF(L3&lt;3,0,IF(L3&lt;=10,Assumptions!$B$42+(Assumptions!$B$43-Assumptions!$B$42)*(L3-3)/7,Assumptions!$B$43))*Assumptions!$B$44*12*(1+Assumptions!$B$75)*(1+Assumptions!$B$71)^(L3-1)/1000000</f>
        <v>6.0415377960813208</v>
      </c>
      <c r="M35" s="21">
        <f>IF(M3&lt;3,0,IF(M3&lt;=10,Assumptions!$B$42+(Assumptions!$B$43-Assumptions!$B$42)*(M3-3)/7,Assumptions!$B$43))*Assumptions!$B$44*12*(1+Assumptions!$B$75)*(1+Assumptions!$B$71)^(M3-1)/1000000</f>
        <v>6.8187918159142535</v>
      </c>
      <c r="N35" s="21">
        <f>IF(N3&lt;3,0,IF(N3&lt;=10,Assumptions!$B$42+(Assumptions!$B$43-Assumptions!$B$42)*(N3-3)/7,Assumptions!$B$43))*Assumptions!$B$44*12*(1+Assumptions!$B$75)*(1+Assumptions!$B$71)^(N3-1)/1000000</f>
        <v>6.9892616113121102</v>
      </c>
      <c r="O35" s="21">
        <f>IF(O3&lt;3,0,IF(O3&lt;=10,Assumptions!$B$42+(Assumptions!$B$43-Assumptions!$B$42)*(O3-3)/7,Assumptions!$B$43))*Assumptions!$B$44*12*(1+Assumptions!$B$75)*(1+Assumptions!$B$71)^(O3-1)/1000000</f>
        <v>7.1639931515949122</v>
      </c>
      <c r="P35" s="21">
        <f>IF(P3&lt;3,0,IF(P3&lt;=10,Assumptions!$B$42+(Assumptions!$B$43-Assumptions!$B$42)*(P3-3)/7,Assumptions!$B$43))*Assumptions!$B$44*12*(1+Assumptions!$B$75)*(1+Assumptions!$B$71)^(P3-1)/1000000</f>
        <v>7.3430929803847844</v>
      </c>
      <c r="Q35" s="21">
        <f>IF(Q3&lt;3,0,IF(Q3&lt;=10,Assumptions!$B$42+(Assumptions!$B$43-Assumptions!$B$42)*(Q3-3)/7,Assumptions!$B$43))*Assumptions!$B$44*12*(1+Assumptions!$B$75)*(1+Assumptions!$B$71)^(Q3-1)/1000000</f>
        <v>7.5266703048944033</v>
      </c>
      <c r="R35" s="21">
        <f>IF(R3&lt;3,0,IF(R3&lt;=10,Assumptions!$B$42+(Assumptions!$B$43-Assumptions!$B$42)*(R3-3)/7,Assumptions!$B$43))*Assumptions!$B$44*12*(1+Assumptions!$B$75)*(1+Assumptions!$B$71)^(R3-1)/1000000</f>
        <v>7.7148370625167626</v>
      </c>
      <c r="S35" s="21">
        <f>IF(S3&lt;3,0,IF(S3&lt;=10,Assumptions!$B$42+(Assumptions!$B$43-Assumptions!$B$42)*(S3-3)/7,Assumptions!$B$43))*Assumptions!$B$44*12*(1+Assumptions!$B$75)*(1+Assumptions!$B$71)^(S3-1)/1000000</f>
        <v>7.9077079890796833</v>
      </c>
      <c r="T35" s="21">
        <f>IF(T3&lt;3,0,IF(T3&lt;=10,Assumptions!$B$42+(Assumptions!$B$43-Assumptions!$B$42)*(T3-3)/7,Assumptions!$B$43))*Assumptions!$B$44*12*(1+Assumptions!$B$75)*(1+Assumptions!$B$71)^(T3-1)/1000000</f>
        <v>8.1054006888066752</v>
      </c>
      <c r="U35" s="21">
        <f>IF(U3&lt;3,0,IF(U3&lt;=10,Assumptions!$B$42+(Assumptions!$B$43-Assumptions!$B$42)*(U3-3)/7,Assumptions!$B$43))*Assumptions!$B$44*12*(1+Assumptions!$B$75)*(1+Assumptions!$B$71)^(U3-1)/1000000</f>
        <v>8.3080357060268408</v>
      </c>
      <c r="V35" s="21">
        <f>IF(V3&lt;3,0,IF(V3&lt;=10,Assumptions!$B$42+(Assumptions!$B$43-Assumptions!$B$42)*(V3-3)/7,Assumptions!$B$43))*Assumptions!$B$44*12*(1+Assumptions!$B$75)*(1+Assumptions!$B$71)^(V3-1)/1000000</f>
        <v>8.5157365986775115</v>
      </c>
      <c r="W35" s="21">
        <f>IF(W3&lt;3,0,IF(W3&lt;=10,Assumptions!$B$42+(Assumptions!$B$43-Assumptions!$B$42)*(W3-3)/7,Assumptions!$B$43))*Assumptions!$B$44*12*(1+Assumptions!$B$75)*(1+Assumptions!$B$71)^(W3-1)/1000000</f>
        <v>8.7286300136444499</v>
      </c>
      <c r="X35" s="21">
        <f>IF(X3&lt;3,0,IF(X3&lt;=10,Assumptions!$B$42+(Assumptions!$B$43-Assumptions!$B$42)*(X3-3)/7,Assumptions!$B$43))*Assumptions!$B$44*12*(1+Assumptions!$B$75)*(1+Assumptions!$B$71)^(X3-1)/1000000</f>
        <v>8.946845763985559</v>
      </c>
      <c r="Y35" s="21">
        <f>IF(Y3&lt;3,0,IF(Y3&lt;=10,Assumptions!$B$42+(Assumptions!$B$43-Assumptions!$B$42)*(Y3-3)/7,Assumptions!$B$43))*Assumptions!$B$44*12*(1+Assumptions!$B$75)*(1+Assumptions!$B$71)^(Y3-1)/1000000</f>
        <v>9.1705169080851974</v>
      </c>
      <c r="Z35" s="21">
        <f>IF(Z3&lt;3,0,IF(Z3&lt;=10,Assumptions!$B$42+(Assumptions!$B$43-Assumptions!$B$42)*(Z3-3)/7,Assumptions!$B$43))*Assumptions!$B$44*12*(1+Assumptions!$B$75)*(1+Assumptions!$B$71)^(Z3-1)/1000000</f>
        <v>9.3997798307873275</v>
      </c>
      <c r="AA35" s="21">
        <f>IF(AA3&lt;3,0,IF(AA3&lt;=10,Assumptions!$B$42+(Assumptions!$B$43-Assumptions!$B$42)*(AA3-3)/7,Assumptions!$B$43))*Assumptions!$B$44*12*(1+Assumptions!$B$75)*(1+Assumptions!$B$71)^(AA3-1)/1000000</f>
        <v>9.6347743265570109</v>
      </c>
      <c r="AB35" s="21">
        <f>IF(AB3&lt;3,0,IF(AB3&lt;=10,Assumptions!$B$42+(Assumptions!$B$43-Assumptions!$B$42)*(AB3-3)/7,Assumptions!$B$43))*Assumptions!$B$44*12*(1+Assumptions!$B$75)*(1+Assumptions!$B$71)^(AB3-1)/1000000</f>
        <v>9.8756436847209361</v>
      </c>
      <c r="AC35" s="21">
        <f>IF(AC3&lt;3,0,IF(AC3&lt;=10,Assumptions!$B$42+(Assumptions!$B$43-Assumptions!$B$42)*(AC3-3)/7,Assumptions!$B$43))*Assumptions!$B$44*12*(1+Assumptions!$B$75)*(1+Assumptions!$B$71)^(AC3-1)/1000000</f>
        <v>10.122534776838956</v>
      </c>
      <c r="AD35" s="21">
        <f>IF(AD3&lt;3,0,IF(AD3&lt;=10,Assumptions!$B$42+(Assumptions!$B$43-Assumptions!$B$42)*(AD3-3)/7,Assumptions!$B$43))*Assumptions!$B$44*12*(1+Assumptions!$B$75)*(1+Assumptions!$B$71)^(AD3-1)/1000000</f>
        <v>10.37559814625993</v>
      </c>
      <c r="AE35" s="21">
        <f>IF(AE3&lt;3,0,IF(AE3&lt;=10,Assumptions!$B$42+(Assumptions!$B$43-Assumptions!$B$42)*(AE3-3)/7,Assumptions!$B$43))*Assumptions!$B$44*12*(1+Assumptions!$B$75)*(1+Assumptions!$B$71)^(AE3-1)/1000000</f>
        <v>10.634988099916429</v>
      </c>
      <c r="AF35" s="21">
        <f>IF(AF3&lt;3,0,IF(AF3&lt;=10,Assumptions!$B$42+(Assumptions!$B$43-Assumptions!$B$42)*(AF3-3)/7,Assumptions!$B$43))*Assumptions!$B$44*12*(1+Assumptions!$B$75)*(1+Assumptions!$B$71)^(AF3-1)/1000000</f>
        <v>10.900862802414339</v>
      </c>
      <c r="AG35" s="21">
        <f>IF(AG3&lt;3,0,IF(AG3&lt;=10,Assumptions!$B$42+(Assumptions!$B$43-Assumptions!$B$42)*(AG3-3)/7,Assumptions!$B$43))*Assumptions!$B$44*12*(1+Assumptions!$B$75)*(1+Assumptions!$B$71)^(AG3-1)/1000000</f>
        <v>11.173384372474699</v>
      </c>
    </row>
    <row r="36" spans="1:33" ht="15" customHeight="1" x14ac:dyDescent="0.3">
      <c r="A36" s="9" t="s">
        <v>162</v>
      </c>
      <c r="D36" s="21">
        <f>IF(D3&lt;3,0,IF(D3&lt;=10,Assumptions!$B$45+(Assumptions!$B$46-Assumptions!$B$45)*(D3-3)/7,Assumptions!$B$46))*(1+Assumptions!$B$71)^(D3-1)</f>
        <v>0</v>
      </c>
      <c r="E36" s="21">
        <f>IF(E3&lt;3,0,IF(E3&lt;=10,Assumptions!$B$45+(Assumptions!$B$46-Assumptions!$B$45)*(E3-3)/7,Assumptions!$B$46))*(1+Assumptions!$B$71)^(E3-1)</f>
        <v>0</v>
      </c>
      <c r="F36" s="21">
        <f>IF(F3&lt;3,0,IF(F3&lt;=10,Assumptions!$B$45+(Assumptions!$B$46-Assumptions!$B$45)*(F3-3)/7,Assumptions!$B$46))*(1+Assumptions!$B$71)^(F3-1)</f>
        <v>0.63037499999999991</v>
      </c>
      <c r="G36" s="21">
        <f>IF(G3&lt;3,0,IF(G3&lt;=10,Assumptions!$B$45+(Assumptions!$B$46-Assumptions!$B$45)*(G3-3)/7,Assumptions!$B$46))*(1+Assumptions!$B$71)^(G3-1)</f>
        <v>0.83843627232142848</v>
      </c>
      <c r="H36" s="21">
        <f>IF(H3&lt;3,0,IF(H3&lt;=10,Assumptions!$B$45+(Assumptions!$B$46-Assumptions!$B$45)*(H3-3)/7,Assumptions!$B$46))*(1+Assumptions!$B$71)^(H3-1)</f>
        <v>1.0565066238839282</v>
      </c>
      <c r="I36" s="21">
        <f>IF(I3&lt;3,0,IF(I3&lt;=10,Assumptions!$B$45+(Assumptions!$B$46-Assumptions!$B$45)*(I3-3)/7,Assumptions!$B$46))*(1+Assumptions!$B$71)^(I3-1)</f>
        <v>1.2849564703543523</v>
      </c>
      <c r="J36" s="21">
        <f>IF(J3&lt;3,0,IF(J3&lt;=10,Assumptions!$B$45+(Assumptions!$B$46-Assumptions!$B$45)*(J3-3)/7,Assumptions!$B$46))*(1+Assumptions!$B$71)^(J3-1)</f>
        <v>1.5241684925083701</v>
      </c>
      <c r="K36" s="21">
        <f>IF(K3&lt;3,0,IF(K3&lt;=10,Assumptions!$B$45+(Assumptions!$B$46-Assumptions!$B$45)*(K3-3)/7,Assumptions!$B$46))*(1+Assumptions!$B$71)^(K3-1)</f>
        <v>1.7745380179761172</v>
      </c>
      <c r="L36" s="21">
        <f>IF(L3&lt;3,0,IF(L3&lt;=10,Assumptions!$B$45+(Assumptions!$B$46-Assumptions!$B$45)*(L3-3)/7,Assumptions!$B$46))*(1+Assumptions!$B$71)^(L3-1)</f>
        <v>2.0364734144094339</v>
      </c>
      <c r="M36" s="21">
        <f>IF(M3&lt;3,0,IF(M3&lt;=10,Assumptions!$B$45+(Assumptions!$B$46-Assumptions!$B$45)*(M3-3)/7,Assumptions!$B$46))*(1+Assumptions!$B$71)^(M3-1)</f>
        <v>2.310396494403181</v>
      </c>
      <c r="N36" s="21">
        <f>IF(N3&lt;3,0,IF(N3&lt;=10,Assumptions!$B$45+(Assumptions!$B$46-Assumptions!$B$45)*(N3-3)/7,Assumptions!$B$46))*(1+Assumptions!$B$71)^(N3-1)</f>
        <v>2.3681564067632608</v>
      </c>
      <c r="O36" s="21">
        <f>IF(O3&lt;3,0,IF(O3&lt;=10,Assumptions!$B$45+(Assumptions!$B$46-Assumptions!$B$45)*(O3-3)/7,Assumptions!$B$46))*(1+Assumptions!$B$71)^(O3-1)</f>
        <v>2.4273603169323423</v>
      </c>
      <c r="P36" s="21">
        <f>IF(P3&lt;3,0,IF(P3&lt;=10,Assumptions!$B$45+(Assumptions!$B$46-Assumptions!$B$45)*(P3-3)/7,Assumptions!$B$46))*(1+Assumptions!$B$71)^(P3-1)</f>
        <v>2.4880443248556507</v>
      </c>
      <c r="Q36" s="21">
        <f>IF(Q3&lt;3,0,IF(Q3&lt;=10,Assumptions!$B$45+(Assumptions!$B$46-Assumptions!$B$45)*(Q3-3)/7,Assumptions!$B$46))*(1+Assumptions!$B$71)^(Q3-1)</f>
        <v>2.5502454329770416</v>
      </c>
      <c r="R36" s="21">
        <f>IF(R3&lt;3,0,IF(R3&lt;=10,Assumptions!$B$45+(Assumptions!$B$46-Assumptions!$B$45)*(R3-3)/7,Assumptions!$B$46))*(1+Assumptions!$B$71)^(R3-1)</f>
        <v>2.6140015688014673</v>
      </c>
      <c r="S36" s="21">
        <f>IF(S3&lt;3,0,IF(S3&lt;=10,Assumptions!$B$45+(Assumptions!$B$46-Assumptions!$B$45)*(S3-3)/7,Assumptions!$B$46))*(1+Assumptions!$B$71)^(S3-1)</f>
        <v>2.6793516080215047</v>
      </c>
      <c r="T36" s="21">
        <f>IF(T3&lt;3,0,IF(T3&lt;=10,Assumptions!$B$45+(Assumptions!$B$46-Assumptions!$B$45)*(T3-3)/7,Assumptions!$B$46))*(1+Assumptions!$B$71)^(T3-1)</f>
        <v>2.7463353982220418</v>
      </c>
      <c r="U36" s="21">
        <f>IF(U3&lt;3,0,IF(U3&lt;=10,Assumptions!$B$45+(Assumptions!$B$46-Assumptions!$B$45)*(U3-3)/7,Assumptions!$B$46))*(1+Assumptions!$B$71)^(U3-1)</f>
        <v>2.8149937831775924</v>
      </c>
      <c r="V36" s="21">
        <f>IF(V3&lt;3,0,IF(V3&lt;=10,Assumptions!$B$45+(Assumptions!$B$46-Assumptions!$B$45)*(V3-3)/7,Assumptions!$B$46))*(1+Assumptions!$B$71)^(V3-1)</f>
        <v>2.8853686277570327</v>
      </c>
      <c r="W36" s="21">
        <f>IF(W3&lt;3,0,IF(W3&lt;=10,Assumptions!$B$45+(Assumptions!$B$46-Assumptions!$B$45)*(W3-3)/7,Assumptions!$B$46))*(1+Assumptions!$B$71)^(W3-1)</f>
        <v>2.9575028434509583</v>
      </c>
      <c r="X36" s="21">
        <f>IF(X3&lt;3,0,IF(X3&lt;=10,Assumptions!$B$45+(Assumptions!$B$46-Assumptions!$B$45)*(X3-3)/7,Assumptions!$B$46))*(1+Assumptions!$B$71)^(X3-1)</f>
        <v>3.031440414537232</v>
      </c>
      <c r="Y36" s="21">
        <f>IF(Y3&lt;3,0,IF(Y3&lt;=10,Assumptions!$B$45+(Assumptions!$B$46-Assumptions!$B$45)*(Y3-3)/7,Assumptions!$B$46))*(1+Assumptions!$B$71)^(Y3-1)</f>
        <v>3.1072264249006625</v>
      </c>
      <c r="Z36" s="21">
        <f>IF(Z3&lt;3,0,IF(Z3&lt;=10,Assumptions!$B$45+(Assumptions!$B$46-Assumptions!$B$45)*(Z3-3)/7,Assumptions!$B$46))*(1+Assumptions!$B$71)^(Z3-1)</f>
        <v>3.1849070855231787</v>
      </c>
      <c r="AA36" s="21">
        <f>IF(AA3&lt;3,0,IF(AA3&lt;=10,Assumptions!$B$45+(Assumptions!$B$46-Assumptions!$B$45)*(AA3-3)/7,Assumptions!$B$46))*(1+Assumptions!$B$71)^(AA3-1)</f>
        <v>3.2645297626612586</v>
      </c>
      <c r="AB36" s="21">
        <f>IF(AB3&lt;3,0,IF(AB3&lt;=10,Assumptions!$B$45+(Assumptions!$B$46-Assumptions!$B$45)*(AB3-3)/7,Assumptions!$B$46))*(1+Assumptions!$B$71)^(AB3-1)</f>
        <v>3.3461430067277895</v>
      </c>
      <c r="AC36" s="21">
        <f>IF(AC3&lt;3,0,IF(AC3&lt;=10,Assumptions!$B$45+(Assumptions!$B$46-Assumptions!$B$45)*(AC3-3)/7,Assumptions!$B$46))*(1+Assumptions!$B$71)^(AC3-1)</f>
        <v>3.4297965818959839</v>
      </c>
      <c r="AD36" s="21">
        <f>IF(AD3&lt;3,0,IF(AD3&lt;=10,Assumptions!$B$45+(Assumptions!$B$46-Assumptions!$B$45)*(AD3-3)/7,Assumptions!$B$46))*(1+Assumptions!$B$71)^(AD3-1)</f>
        <v>3.5155414964433831</v>
      </c>
      <c r="AE36" s="21">
        <f>IF(AE3&lt;3,0,IF(AE3&lt;=10,Assumptions!$B$45+(Assumptions!$B$46-Assumptions!$B$45)*(AE3-3)/7,Assumptions!$B$46))*(1+Assumptions!$B$71)^(AE3-1)</f>
        <v>3.6034300338544676</v>
      </c>
      <c r="AF36" s="21">
        <f>IF(AF3&lt;3,0,IF(AF3&lt;=10,Assumptions!$B$45+(Assumptions!$B$46-Assumptions!$B$45)*(AF3-3)/7,Assumptions!$B$46))*(1+Assumptions!$B$71)^(AF3-1)</f>
        <v>3.6935157847008289</v>
      </c>
      <c r="AG36" s="21">
        <f>IF(AG3&lt;3,0,IF(AG3&lt;=10,Assumptions!$B$45+(Assumptions!$B$46-Assumptions!$B$45)*(AG3-3)/7,Assumptions!$B$46))*(1+Assumptions!$B$71)^(AG3-1)</f>
        <v>3.7858536793183504</v>
      </c>
    </row>
    <row r="37" spans="1:33" ht="15" customHeight="1" x14ac:dyDescent="0.3">
      <c r="A37" s="9" t="s">
        <v>163</v>
      </c>
      <c r="D37" s="21">
        <f>Assumptions!$B$15*Assumptions!$B$50*IF(D5&lt;=0,0,INDEX(Assumptions!$B$57:$F$57,MIN(D5,5)))*(1+Assumptions!$B$71)^(D3-1)</f>
        <v>0</v>
      </c>
      <c r="E37" s="21">
        <f>Assumptions!$B$15*Assumptions!$B$50*IF(E5&lt;=0,0,INDEX(Assumptions!$B$57:$F$57,MIN(E5,5)))*(1+Assumptions!$B$71)^(E3-1)</f>
        <v>0</v>
      </c>
      <c r="F37" s="21">
        <f>Assumptions!$B$15*Assumptions!$B$50*IF(F5&lt;=0,0,INDEX(Assumptions!$B$57:$F$57,MIN(F5,5)))*(1+Assumptions!$B$71)^(F3-1)</f>
        <v>0.94556249999999986</v>
      </c>
      <c r="G37" s="21">
        <f>Assumptions!$B$15*Assumptions!$B$50*IF(G5&lt;=0,0,INDEX(Assumptions!$B$57:$F$57,MIN(G5,5)))*(1+Assumptions!$B$71)^(G3-1)</f>
        <v>1.1307351562499997</v>
      </c>
      <c r="H37" s="21">
        <f>Assumptions!$B$15*Assumptions!$B$50*IF(H5&lt;=0,0,INDEX(Assumptions!$B$57:$F$57,MIN(H5,5)))*(1+Assumptions!$B$71)^(H3-1)</f>
        <v>1.4073614355468747</v>
      </c>
      <c r="I37" s="21">
        <f>Assumptions!$B$15*Assumptions!$B$50*IF(I5&lt;=0,0,INDEX(Assumptions!$B$57:$F$57,MIN(I5,5)))*(1+Assumptions!$B$71)^(I3-1)</f>
        <v>1.61225670336914</v>
      </c>
      <c r="J37" s="21">
        <f>Assumptions!$B$15*Assumptions!$B$50*IF(J5&lt;=0,0,INDEX(Assumptions!$B$57:$F$57,MIN(J5,5)))*(1+Assumptions!$B$71)^(J3-1)</f>
        <v>1.7395401273193354</v>
      </c>
      <c r="K37" s="21">
        <f>Assumptions!$B$15*Assumptions!$B$50*IF(K5&lt;=0,0,INDEX(Assumptions!$B$57:$F$57,MIN(K5,5)))*(1+Assumptions!$B$71)^(K3-1)</f>
        <v>1.7830286305023186</v>
      </c>
      <c r="L37" s="21">
        <f>Assumptions!$B$15*Assumptions!$B$50*IF(L5&lt;=0,0,INDEX(Assumptions!$B$57:$F$57,MIN(L5,5)))*(1+Assumptions!$B$71)^(L3-1)</f>
        <v>1.8276043462648766</v>
      </c>
      <c r="M37" s="21">
        <f>Assumptions!$B$15*Assumptions!$B$50*IF(M5&lt;=0,0,INDEX(Assumptions!$B$57:$F$57,MIN(M5,5)))*(1+Assumptions!$B$71)^(M3-1)</f>
        <v>1.8732944549214983</v>
      </c>
      <c r="N37" s="21">
        <f>Assumptions!$B$15*Assumptions!$B$50*IF(N5&lt;=0,0,INDEX(Assumptions!$B$57:$F$57,MIN(N5,5)))*(1+Assumptions!$B$71)^(N3-1)</f>
        <v>1.9201268162945357</v>
      </c>
      <c r="O37" s="21">
        <f>Assumptions!$B$15*Assumptions!$B$50*IF(O5&lt;=0,0,INDEX(Assumptions!$B$57:$F$57,MIN(O5,5)))*(1+Assumptions!$B$71)^(O3-1)</f>
        <v>1.9681299867018991</v>
      </c>
      <c r="P37" s="21">
        <f>Assumptions!$B$15*Assumptions!$B$50*IF(P5&lt;=0,0,INDEX(Assumptions!$B$57:$F$57,MIN(P5,5)))*(1+Assumptions!$B$71)^(P3-1)</f>
        <v>2.0173332363694465</v>
      </c>
      <c r="Q37" s="21">
        <f>Assumptions!$B$15*Assumptions!$B$50*IF(Q5&lt;=0,0,INDEX(Assumptions!$B$57:$F$57,MIN(Q5,5)))*(1+Assumptions!$B$71)^(Q3-1)</f>
        <v>2.0677665672786825</v>
      </c>
      <c r="R37" s="21">
        <f>Assumptions!$B$15*Assumptions!$B$50*IF(R5&lt;=0,0,INDEX(Assumptions!$B$57:$F$57,MIN(R5,5)))*(1+Assumptions!$B$71)^(R3-1)</f>
        <v>2.1194607314606491</v>
      </c>
      <c r="S37" s="21">
        <f>Assumptions!$B$15*Assumptions!$B$50*IF(S5&lt;=0,0,INDEX(Assumptions!$B$57:$F$57,MIN(S5,5)))*(1+Assumptions!$B$71)^(S3-1)</f>
        <v>2.1724472497471656</v>
      </c>
      <c r="T37" s="21">
        <f>Assumptions!$B$15*Assumptions!$B$50*IF(T5&lt;=0,0,INDEX(Assumptions!$B$57:$F$57,MIN(T5,5)))*(1+Assumptions!$B$71)^(T3-1)</f>
        <v>2.2267584309908446</v>
      </c>
      <c r="U37" s="21">
        <f>Assumptions!$B$15*Assumptions!$B$50*IF(U5&lt;=0,0,INDEX(Assumptions!$B$57:$F$57,MIN(U5,5)))*(1+Assumptions!$B$71)^(U3-1)</f>
        <v>2.2824273917656157</v>
      </c>
      <c r="V37" s="21">
        <f>Assumptions!$B$15*Assumptions!$B$50*IF(V5&lt;=0,0,INDEX(Assumptions!$B$57:$F$57,MIN(V5,5)))*(1+Assumptions!$B$71)^(V3-1)</f>
        <v>2.3394880765597561</v>
      </c>
      <c r="W37" s="21">
        <f>Assumptions!$B$15*Assumptions!$B$50*IF(W5&lt;=0,0,INDEX(Assumptions!$B$57:$F$57,MIN(W5,5)))*(1+Assumptions!$B$71)^(W3-1)</f>
        <v>2.39797527847375</v>
      </c>
      <c r="X37" s="21">
        <f>Assumptions!$B$15*Assumptions!$B$50*IF(X5&lt;=0,0,INDEX(Assumptions!$B$57:$F$57,MIN(X5,5)))*(1+Assumptions!$B$71)^(X3-1)</f>
        <v>2.4579246604355935</v>
      </c>
      <c r="Y37" s="21">
        <f>Assumptions!$B$15*Assumptions!$B$50*IF(Y5&lt;=0,0,INDEX(Assumptions!$B$57:$F$57,MIN(Y5,5)))*(1+Assumptions!$B$71)^(Y3-1)</f>
        <v>2.5193727769464829</v>
      </c>
      <c r="Z37" s="21">
        <f>Assumptions!$B$15*Assumptions!$B$50*IF(Z5&lt;=0,0,INDEX(Assumptions!$B$57:$F$57,MIN(Z5,5)))*(1+Assumptions!$B$71)^(Z3-1)</f>
        <v>2.5823570963701448</v>
      </c>
      <c r="AA37" s="21">
        <f>Assumptions!$B$15*Assumptions!$B$50*IF(AA5&lt;=0,0,INDEX(Assumptions!$B$57:$F$57,MIN(AA5,5)))*(1+Assumptions!$B$71)^(AA3-1)</f>
        <v>2.6469160237793985</v>
      </c>
      <c r="AB37" s="21">
        <f>Assumptions!$B$15*Assumptions!$B$50*IF(AB5&lt;=0,0,INDEX(Assumptions!$B$57:$F$57,MIN(AB5,5)))*(1+Assumptions!$B$71)^(AB3-1)</f>
        <v>2.7130889243738832</v>
      </c>
      <c r="AC37" s="21">
        <f>Assumptions!$B$15*Assumptions!$B$50*IF(AC5&lt;=0,0,INDEX(Assumptions!$B$57:$F$57,MIN(AC5,5)))*(1+Assumptions!$B$71)^(AC3-1)</f>
        <v>2.78091614748323</v>
      </c>
      <c r="AD37" s="21">
        <f>Assumptions!$B$15*Assumptions!$B$50*IF(AD5&lt;=0,0,INDEX(Assumptions!$B$57:$F$57,MIN(AD5,5)))*(1+Assumptions!$B$71)^(AD3-1)</f>
        <v>2.8504390511703104</v>
      </c>
      <c r="AE37" s="21">
        <f>Assumptions!$B$15*Assumptions!$B$50*IF(AE5&lt;=0,0,INDEX(Assumptions!$B$57:$F$57,MIN(AE5,5)))*(1+Assumptions!$B$71)^(AE3-1)</f>
        <v>2.9217000274495684</v>
      </c>
      <c r="AF37" s="21">
        <f>Assumptions!$B$15*Assumptions!$B$50*IF(AF5&lt;=0,0,INDEX(Assumptions!$B$57:$F$57,MIN(AF5,5)))*(1+Assumptions!$B$71)^(AF3-1)</f>
        <v>2.9947425281358071</v>
      </c>
      <c r="AG37" s="21">
        <f>Assumptions!$B$15*Assumptions!$B$50*IF(AG5&lt;=0,0,INDEX(Assumptions!$B$57:$F$57,MIN(AG5,5)))*(1+Assumptions!$B$71)^(AG3-1)</f>
        <v>3.069611091339203</v>
      </c>
    </row>
    <row r="38" spans="1:33" ht="15" customHeight="1" x14ac:dyDescent="0.3">
      <c r="A38" s="9" t="s">
        <v>164</v>
      </c>
      <c r="D38" s="21">
        <f>Assumptions!$B$16*Assumptions!$B$51*IF(D6&lt;=0,0,INDEX(Assumptions!$B$57:$F$57,MIN(D6,5)))*(1+Assumptions!$B$71)^(D3-1)</f>
        <v>0</v>
      </c>
      <c r="E38" s="21">
        <f>Assumptions!$B$16*Assumptions!$B$51*IF(E6&lt;=0,0,INDEX(Assumptions!$B$57:$F$57,MIN(E6,5)))*(1+Assumptions!$B$71)^(E3-1)</f>
        <v>0</v>
      </c>
      <c r="F38" s="21">
        <f>Assumptions!$B$16*Assumptions!$B$51*IF(F6&lt;=0,0,INDEX(Assumptions!$B$57:$F$57,MIN(F6,5)))*(1+Assumptions!$B$71)^(F3-1)</f>
        <v>0</v>
      </c>
      <c r="G38" s="21">
        <f>Assumptions!$B$16*Assumptions!$B$51*IF(G6&lt;=0,0,INDEX(Assumptions!$B$57:$F$57,MIN(G6,5)))*(1+Assumptions!$B$71)^(G3-1)</f>
        <v>0.96920156249999978</v>
      </c>
      <c r="H38" s="21">
        <f>Assumptions!$B$16*Assumptions!$B$51*IF(H6&lt;=0,0,INDEX(Assumptions!$B$57:$F$57,MIN(H6,5)))*(1+Assumptions!$B$71)^(H3-1)</f>
        <v>1.1590035351562495</v>
      </c>
      <c r="I38" s="21">
        <f>Assumptions!$B$16*Assumptions!$B$51*IF(I6&lt;=0,0,INDEX(Assumptions!$B$57:$F$57,MIN(I6,5)))*(1+Assumptions!$B$71)^(I3-1)</f>
        <v>1.4425454714355463</v>
      </c>
      <c r="J38" s="21">
        <f>Assumptions!$B$16*Assumptions!$B$51*IF(J6&lt;=0,0,INDEX(Assumptions!$B$57:$F$57,MIN(J6,5)))*(1+Assumptions!$B$71)^(J3-1)</f>
        <v>1.6525631209533682</v>
      </c>
      <c r="K38" s="21">
        <f>Assumptions!$B$16*Assumptions!$B$51*IF(K6&lt;=0,0,INDEX(Assumptions!$B$57:$F$57,MIN(K6,5)))*(1+Assumptions!$B$71)^(K3-1)</f>
        <v>1.7830286305023186</v>
      </c>
      <c r="L38" s="21">
        <f>Assumptions!$B$16*Assumptions!$B$51*IF(L6&lt;=0,0,INDEX(Assumptions!$B$57:$F$57,MIN(L6,5)))*(1+Assumptions!$B$71)^(L3-1)</f>
        <v>1.8276043462648766</v>
      </c>
      <c r="M38" s="21">
        <f>Assumptions!$B$16*Assumptions!$B$51*IF(M6&lt;=0,0,INDEX(Assumptions!$B$57:$F$57,MIN(M6,5)))*(1+Assumptions!$B$71)^(M3-1)</f>
        <v>1.8732944549214983</v>
      </c>
      <c r="N38" s="21">
        <f>Assumptions!$B$16*Assumptions!$B$51*IF(N6&lt;=0,0,INDEX(Assumptions!$B$57:$F$57,MIN(N6,5)))*(1+Assumptions!$B$71)^(N3-1)</f>
        <v>1.9201268162945357</v>
      </c>
      <c r="O38" s="21">
        <f>Assumptions!$B$16*Assumptions!$B$51*IF(O6&lt;=0,0,INDEX(Assumptions!$B$57:$F$57,MIN(O6,5)))*(1+Assumptions!$B$71)^(O3-1)</f>
        <v>1.9681299867018991</v>
      </c>
      <c r="P38" s="21">
        <f>Assumptions!$B$16*Assumptions!$B$51*IF(P6&lt;=0,0,INDEX(Assumptions!$B$57:$F$57,MIN(P6,5)))*(1+Assumptions!$B$71)^(P3-1)</f>
        <v>2.0173332363694465</v>
      </c>
      <c r="Q38" s="21">
        <f>Assumptions!$B$16*Assumptions!$B$51*IF(Q6&lt;=0,0,INDEX(Assumptions!$B$57:$F$57,MIN(Q6,5)))*(1+Assumptions!$B$71)^(Q3-1)</f>
        <v>2.0677665672786825</v>
      </c>
      <c r="R38" s="21">
        <f>Assumptions!$B$16*Assumptions!$B$51*IF(R6&lt;=0,0,INDEX(Assumptions!$B$57:$F$57,MIN(R6,5)))*(1+Assumptions!$B$71)^(R3-1)</f>
        <v>2.1194607314606491</v>
      </c>
      <c r="S38" s="21">
        <f>Assumptions!$B$16*Assumptions!$B$51*IF(S6&lt;=0,0,INDEX(Assumptions!$B$57:$F$57,MIN(S6,5)))*(1+Assumptions!$B$71)^(S3-1)</f>
        <v>2.1724472497471656</v>
      </c>
      <c r="T38" s="21">
        <f>Assumptions!$B$16*Assumptions!$B$51*IF(T6&lt;=0,0,INDEX(Assumptions!$B$57:$F$57,MIN(T6,5)))*(1+Assumptions!$B$71)^(T3-1)</f>
        <v>2.2267584309908446</v>
      </c>
      <c r="U38" s="21">
        <f>Assumptions!$B$16*Assumptions!$B$51*IF(U6&lt;=0,0,INDEX(Assumptions!$B$57:$F$57,MIN(U6,5)))*(1+Assumptions!$B$71)^(U3-1)</f>
        <v>2.2824273917656157</v>
      </c>
      <c r="V38" s="21">
        <f>Assumptions!$B$16*Assumptions!$B$51*IF(V6&lt;=0,0,INDEX(Assumptions!$B$57:$F$57,MIN(V6,5)))*(1+Assumptions!$B$71)^(V3-1)</f>
        <v>2.3394880765597561</v>
      </c>
      <c r="W38" s="21">
        <f>Assumptions!$B$16*Assumptions!$B$51*IF(W6&lt;=0,0,INDEX(Assumptions!$B$57:$F$57,MIN(W6,5)))*(1+Assumptions!$B$71)^(W3-1)</f>
        <v>2.39797527847375</v>
      </c>
      <c r="X38" s="21">
        <f>Assumptions!$B$16*Assumptions!$B$51*IF(X6&lt;=0,0,INDEX(Assumptions!$B$57:$F$57,MIN(X6,5)))*(1+Assumptions!$B$71)^(X3-1)</f>
        <v>2.4579246604355935</v>
      </c>
      <c r="Y38" s="21">
        <f>Assumptions!$B$16*Assumptions!$B$51*IF(Y6&lt;=0,0,INDEX(Assumptions!$B$57:$F$57,MIN(Y6,5)))*(1+Assumptions!$B$71)^(Y3-1)</f>
        <v>2.5193727769464829</v>
      </c>
      <c r="Z38" s="21">
        <f>Assumptions!$B$16*Assumptions!$B$51*IF(Z6&lt;=0,0,INDEX(Assumptions!$B$57:$F$57,MIN(Z6,5)))*(1+Assumptions!$B$71)^(Z3-1)</f>
        <v>2.5823570963701448</v>
      </c>
      <c r="AA38" s="21">
        <f>Assumptions!$B$16*Assumptions!$B$51*IF(AA6&lt;=0,0,INDEX(Assumptions!$B$57:$F$57,MIN(AA6,5)))*(1+Assumptions!$B$71)^(AA3-1)</f>
        <v>2.6469160237793985</v>
      </c>
      <c r="AB38" s="21">
        <f>Assumptions!$B$16*Assumptions!$B$51*IF(AB6&lt;=0,0,INDEX(Assumptions!$B$57:$F$57,MIN(AB6,5)))*(1+Assumptions!$B$71)^(AB3-1)</f>
        <v>2.7130889243738832</v>
      </c>
      <c r="AC38" s="21">
        <f>Assumptions!$B$16*Assumptions!$B$51*IF(AC6&lt;=0,0,INDEX(Assumptions!$B$57:$F$57,MIN(AC6,5)))*(1+Assumptions!$B$71)^(AC3-1)</f>
        <v>2.78091614748323</v>
      </c>
      <c r="AD38" s="21">
        <f>Assumptions!$B$16*Assumptions!$B$51*IF(AD6&lt;=0,0,INDEX(Assumptions!$B$57:$F$57,MIN(AD6,5)))*(1+Assumptions!$B$71)^(AD3-1)</f>
        <v>2.8504390511703104</v>
      </c>
      <c r="AE38" s="21">
        <f>Assumptions!$B$16*Assumptions!$B$51*IF(AE6&lt;=0,0,INDEX(Assumptions!$B$57:$F$57,MIN(AE6,5)))*(1+Assumptions!$B$71)^(AE3-1)</f>
        <v>2.9217000274495684</v>
      </c>
      <c r="AF38" s="21">
        <f>Assumptions!$B$16*Assumptions!$B$51*IF(AF6&lt;=0,0,INDEX(Assumptions!$B$57:$F$57,MIN(AF6,5)))*(1+Assumptions!$B$71)^(AF3-1)</f>
        <v>2.9947425281358071</v>
      </c>
      <c r="AG38" s="21">
        <f>Assumptions!$B$16*Assumptions!$B$51*IF(AG6&lt;=0,0,INDEX(Assumptions!$B$57:$F$57,MIN(AG6,5)))*(1+Assumptions!$B$71)^(AG3-1)</f>
        <v>3.069611091339203</v>
      </c>
    </row>
    <row r="39" spans="1:33" ht="15" customHeight="1" x14ac:dyDescent="0.3">
      <c r="A39" s="9" t="s">
        <v>165</v>
      </c>
      <c r="D39" s="21">
        <f>Assumptions!$B$17*Assumptions!$B$52*IF(D6&lt;=0,0,INDEX(Assumptions!$B$57:$F$57,MIN(D6,5)))*(1+Assumptions!$B$71)^(D3-1)</f>
        <v>0</v>
      </c>
      <c r="E39" s="21">
        <f>Assumptions!$B$17*Assumptions!$B$52*IF(E6&lt;=0,0,INDEX(Assumptions!$B$57:$F$57,MIN(E6,5)))*(1+Assumptions!$B$71)^(E3-1)</f>
        <v>0</v>
      </c>
      <c r="F39" s="21">
        <f>Assumptions!$B$17*Assumptions!$B$52*IF(F6&lt;=0,0,INDEX(Assumptions!$B$57:$F$57,MIN(F6,5)))*(1+Assumptions!$B$71)^(F3-1)</f>
        <v>0</v>
      </c>
      <c r="G39" s="21">
        <f>Assumptions!$B$17*Assumptions!$B$52*IF(G6&lt;=0,0,INDEX(Assumptions!$B$57:$F$57,MIN(G6,5)))*(1+Assumptions!$B$71)^(G3-1)</f>
        <v>0.51690749999999996</v>
      </c>
      <c r="H39" s="21">
        <f>Assumptions!$B$17*Assumptions!$B$52*IF(H6&lt;=0,0,INDEX(Assumptions!$B$57:$F$57,MIN(H6,5)))*(1+Assumptions!$B$71)^(H3-1)</f>
        <v>0.61813521874999977</v>
      </c>
      <c r="I39" s="21">
        <f>Assumptions!$B$17*Assumptions!$B$52*IF(I6&lt;=0,0,INDEX(Assumptions!$B$57:$F$57,MIN(I6,5)))*(1+Assumptions!$B$71)^(I3-1)</f>
        <v>0.76935758476562477</v>
      </c>
      <c r="J39" s="21">
        <f>Assumptions!$B$17*Assumptions!$B$52*IF(J6&lt;=0,0,INDEX(Assumptions!$B$57:$F$57,MIN(J6,5)))*(1+Assumptions!$B$71)^(J3-1)</f>
        <v>0.88136699784179651</v>
      </c>
      <c r="K39" s="21">
        <f>Assumptions!$B$17*Assumptions!$B$52*IF(K6&lt;=0,0,INDEX(Assumptions!$B$57:$F$57,MIN(K6,5)))*(1+Assumptions!$B$71)^(K3-1)</f>
        <v>0.95094860293457006</v>
      </c>
      <c r="L39" s="21">
        <f>Assumptions!$B$17*Assumptions!$B$52*IF(L6&lt;=0,0,INDEX(Assumptions!$B$57:$F$57,MIN(L6,5)))*(1+Assumptions!$B$71)^(L3-1)</f>
        <v>0.97472231800793419</v>
      </c>
      <c r="M39" s="21">
        <f>Assumptions!$B$17*Assumptions!$B$52*IF(M6&lt;=0,0,INDEX(Assumptions!$B$57:$F$57,MIN(M6,5)))*(1+Assumptions!$B$71)^(M3-1)</f>
        <v>0.99909037595813244</v>
      </c>
      <c r="N39" s="21">
        <f>Assumptions!$B$17*Assumptions!$B$52*IF(N6&lt;=0,0,INDEX(Assumptions!$B$57:$F$57,MIN(N6,5)))*(1+Assumptions!$B$71)^(N3-1)</f>
        <v>1.0240676353570857</v>
      </c>
      <c r="O39" s="21">
        <f>Assumptions!$B$17*Assumptions!$B$52*IF(O6&lt;=0,0,INDEX(Assumptions!$B$57:$F$57,MIN(O6,5)))*(1+Assumptions!$B$71)^(O3-1)</f>
        <v>1.0496693262410128</v>
      </c>
      <c r="P39" s="21">
        <f>Assumptions!$B$17*Assumptions!$B$52*IF(P6&lt;=0,0,INDEX(Assumptions!$B$57:$F$57,MIN(P6,5)))*(1+Assumptions!$B$71)^(P3-1)</f>
        <v>1.075911059397038</v>
      </c>
      <c r="Q39" s="21">
        <f>Assumptions!$B$17*Assumptions!$B$52*IF(Q6&lt;=0,0,INDEX(Assumptions!$B$57:$F$57,MIN(Q6,5)))*(1+Assumptions!$B$71)^(Q3-1)</f>
        <v>1.1028088358819639</v>
      </c>
      <c r="R39" s="21">
        <f>Assumptions!$B$17*Assumptions!$B$52*IF(R6&lt;=0,0,INDEX(Assumptions!$B$57:$F$57,MIN(R6,5)))*(1+Assumptions!$B$71)^(R3-1)</f>
        <v>1.1303790567790128</v>
      </c>
      <c r="S39" s="21">
        <f>Assumptions!$B$17*Assumptions!$B$52*IF(S6&lt;=0,0,INDEX(Assumptions!$B$57:$F$57,MIN(S6,5)))*(1+Assumptions!$B$71)^(S3-1)</f>
        <v>1.1586385331984885</v>
      </c>
      <c r="T39" s="21">
        <f>Assumptions!$B$17*Assumptions!$B$52*IF(T6&lt;=0,0,INDEX(Assumptions!$B$57:$F$57,MIN(T6,5)))*(1+Assumptions!$B$71)^(T3-1)</f>
        <v>1.1876044965284505</v>
      </c>
      <c r="U39" s="21">
        <f>Assumptions!$B$17*Assumptions!$B$52*IF(U6&lt;=0,0,INDEX(Assumptions!$B$57:$F$57,MIN(U6,5)))*(1+Assumptions!$B$71)^(U3-1)</f>
        <v>1.2172946089416616</v>
      </c>
      <c r="V39" s="21">
        <f>Assumptions!$B$17*Assumptions!$B$52*IF(V6&lt;=0,0,INDEX(Assumptions!$B$57:$F$57,MIN(V6,5)))*(1+Assumptions!$B$71)^(V3-1)</f>
        <v>1.2477269741652033</v>
      </c>
      <c r="W39" s="21">
        <f>Assumptions!$B$17*Assumptions!$B$52*IF(W6&lt;=0,0,INDEX(Assumptions!$B$57:$F$57,MIN(W6,5)))*(1+Assumptions!$B$71)^(W3-1)</f>
        <v>1.2789201485193333</v>
      </c>
      <c r="X39" s="21">
        <f>Assumptions!$B$17*Assumptions!$B$52*IF(X6&lt;=0,0,INDEX(Assumptions!$B$57:$F$57,MIN(X6,5)))*(1+Assumptions!$B$71)^(X3-1)</f>
        <v>1.3108931522323166</v>
      </c>
      <c r="Y39" s="21">
        <f>Assumptions!$B$17*Assumptions!$B$52*IF(Y6&lt;=0,0,INDEX(Assumptions!$B$57:$F$57,MIN(Y6,5)))*(1+Assumptions!$B$71)^(Y3-1)</f>
        <v>1.3436654810381243</v>
      </c>
      <c r="Z39" s="21">
        <f>Assumptions!$B$17*Assumptions!$B$52*IF(Z6&lt;=0,0,INDEX(Assumptions!$B$57:$F$57,MIN(Z6,5)))*(1+Assumptions!$B$71)^(Z3-1)</f>
        <v>1.3772571180640774</v>
      </c>
      <c r="AA39" s="21">
        <f>Assumptions!$B$17*Assumptions!$B$52*IF(AA6&lt;=0,0,INDEX(Assumptions!$B$57:$F$57,MIN(AA6,5)))*(1+Assumptions!$B$71)^(AA3-1)</f>
        <v>1.4116885460156794</v>
      </c>
      <c r="AB39" s="21">
        <f>Assumptions!$B$17*Assumptions!$B$52*IF(AB6&lt;=0,0,INDEX(Assumptions!$B$57:$F$57,MIN(AB6,5)))*(1+Assumptions!$B$71)^(AB3-1)</f>
        <v>1.4469807596660713</v>
      </c>
      <c r="AC39" s="21">
        <f>Assumptions!$B$17*Assumptions!$B$52*IF(AC6&lt;=0,0,INDEX(Assumptions!$B$57:$F$57,MIN(AC6,5)))*(1+Assumptions!$B$71)^(AC3-1)</f>
        <v>1.4831552786577227</v>
      </c>
      <c r="AD39" s="21">
        <f>Assumptions!$B$17*Assumptions!$B$52*IF(AD6&lt;=0,0,INDEX(Assumptions!$B$57:$F$57,MIN(AD6,5)))*(1+Assumptions!$B$71)^(AD3-1)</f>
        <v>1.5202341606241658</v>
      </c>
      <c r="AE39" s="21">
        <f>Assumptions!$B$17*Assumptions!$B$52*IF(AE6&lt;=0,0,INDEX(Assumptions!$B$57:$F$57,MIN(AE6,5)))*(1+Assumptions!$B$71)^(AE3-1)</f>
        <v>1.5582400146397699</v>
      </c>
      <c r="AF39" s="21">
        <f>Assumptions!$B$17*Assumptions!$B$52*IF(AF6&lt;=0,0,INDEX(Assumptions!$B$57:$F$57,MIN(AF6,5)))*(1+Assumptions!$B$71)^(AF3-1)</f>
        <v>1.597196015005764</v>
      </c>
      <c r="AG39" s="21">
        <f>Assumptions!$B$17*Assumptions!$B$52*IF(AG6&lt;=0,0,INDEX(Assumptions!$B$57:$F$57,MIN(AG6,5)))*(1+Assumptions!$B$71)^(AG3-1)</f>
        <v>1.6371259153809081</v>
      </c>
    </row>
    <row r="40" spans="1:33" ht="15" customHeight="1" x14ac:dyDescent="0.3">
      <c r="A40" s="13" t="s">
        <v>166</v>
      </c>
      <c r="D40" s="22">
        <f>'Site Detail'!D75+'Site Detail'!D76+D35+D36+'Site Detail'!D77</f>
        <v>0</v>
      </c>
      <c r="E40" s="22">
        <f>'Site Detail'!E75+'Site Detail'!E76+E35+E36+'Site Detail'!E77</f>
        <v>0</v>
      </c>
      <c r="F40" s="22">
        <f>'Site Detail'!F75+'Site Detail'!F76+F35+F36+'Site Detail'!F77</f>
        <v>9.1562737492312483</v>
      </c>
      <c r="G40" s="22">
        <f>'Site Detail'!G75+'Site Detail'!G76+G35+G36+'Site Detail'!G77</f>
        <v>21.137904224555168</v>
      </c>
      <c r="H40" s="22">
        <f>'Site Detail'!H75+'Site Detail'!H76+H35+H36+'Site Detail'!H77</f>
        <v>26.119426999503148</v>
      </c>
      <c r="I40" s="22">
        <f>'Site Detail'!I75+'Site Detail'!I76+I35+I36+'Site Detail'!I77</f>
        <v>31.599321169259284</v>
      </c>
      <c r="J40" s="22">
        <f>'Site Detail'!J75+'Site Detail'!J76+J35+J36+'Site Detail'!J77</f>
        <v>35.892884137442287</v>
      </c>
      <c r="K40" s="22">
        <f>'Site Detail'!K75+'Site Detail'!K76+K35+K36+'Site Detail'!K77</f>
        <v>38.855717996903422</v>
      </c>
      <c r="L40" s="22">
        <f>'Site Detail'!L75+'Site Detail'!L76+L35+L36+'Site Detail'!L77</f>
        <v>40.93229451658663</v>
      </c>
      <c r="M40" s="22">
        <f>'Site Detail'!M75+'Site Detail'!M76+M35+M36+'Site Detail'!M77</f>
        <v>43.088415038505921</v>
      </c>
      <c r="N40" s="22">
        <f>'Site Detail'!N75+'Site Detail'!N76+N35+N36+'Site Detail'!N77</f>
        <v>44.456301412394801</v>
      </c>
      <c r="O40" s="22">
        <f>'Site Detail'!O75+'Site Detail'!O76+O35+O36+'Site Detail'!O77</f>
        <v>45.865651845579059</v>
      </c>
      <c r="P40" s="22">
        <f>'Site Detail'!P75+'Site Detail'!P76+P35+P36+'Site Detail'!P77</f>
        <v>47.253256031803218</v>
      </c>
      <c r="Q40" s="22">
        <f>'Site Detail'!Q75+'Site Detail'!Q76+Q35+Q36+'Site Detail'!Q77</f>
        <v>48.434587432598292</v>
      </c>
      <c r="R40" s="22">
        <f>'Site Detail'!R75+'Site Detail'!R76+R35+R36+'Site Detail'!R77</f>
        <v>49.64545211841326</v>
      </c>
      <c r="S40" s="22">
        <f>'Site Detail'!S75+'Site Detail'!S76+S35+S36+'Site Detail'!S77</f>
        <v>50.886588421373581</v>
      </c>
      <c r="T40" s="22">
        <f>'Site Detail'!T75+'Site Detail'!T76+T35+T36+'Site Detail'!T77</f>
        <v>52.158753131907922</v>
      </c>
      <c r="U40" s="22">
        <f>'Site Detail'!U75+'Site Detail'!U76+U35+U36+'Site Detail'!U77</f>
        <v>53.462721960205613</v>
      </c>
      <c r="V40" s="22">
        <f>'Site Detail'!V75+'Site Detail'!V76+V35+V36+'Site Detail'!V77</f>
        <v>54.799290009210758</v>
      </c>
      <c r="W40" s="22">
        <f>'Site Detail'!W75+'Site Detail'!W76+W35+W36+'Site Detail'!W77</f>
        <v>56.169272259441016</v>
      </c>
      <c r="X40" s="22">
        <f>'Site Detail'!X75+'Site Detail'!X76+X35+X36+'Site Detail'!X77</f>
        <v>57.57350406592704</v>
      </c>
      <c r="Y40" s="22">
        <f>'Site Detail'!Y75+'Site Detail'!Y76+Y35+Y36+'Site Detail'!Y77</f>
        <v>59.012841667575209</v>
      </c>
      <c r="Z40" s="22">
        <f>'Site Detail'!Z75+'Site Detail'!Z76+Z35+Z36+'Site Detail'!Z77</f>
        <v>60.488162709264586</v>
      </c>
      <c r="AA40" s="22">
        <f>'Site Detail'!AA75+'Site Detail'!AA76+AA35+AA36+'Site Detail'!AA77</f>
        <v>62.000366776996209</v>
      </c>
      <c r="AB40" s="22">
        <f>'Site Detail'!AB75+'Site Detail'!AB76+AB35+AB36+'Site Detail'!AB77</f>
        <v>63.55037594642112</v>
      </c>
      <c r="AC40" s="22">
        <f>'Site Detail'!AC75+'Site Detail'!AC76+AC35+AC36+'Site Detail'!AC77</f>
        <v>65.139135345081627</v>
      </c>
      <c r="AD40" s="22">
        <f>'Site Detail'!AD75+'Site Detail'!AD76+AD35+AD36+'Site Detail'!AD77</f>
        <v>66.767613728708653</v>
      </c>
      <c r="AE40" s="22">
        <f>'Site Detail'!AE75+'Site Detail'!AE76+AE35+AE36+'Site Detail'!AE77</f>
        <v>68.436804071926375</v>
      </c>
      <c r="AF40" s="22">
        <f>'Site Detail'!AF75+'Site Detail'!AF76+AF35+AF36+'Site Detail'!AF77</f>
        <v>70.147724173724541</v>
      </c>
      <c r="AG40" s="22">
        <f>'Site Detail'!AG75+'Site Detail'!AG76+AG35+AG36+'Site Detail'!AG77</f>
        <v>71.90141727806764</v>
      </c>
    </row>
    <row r="42" spans="1:33" ht="15" customHeight="1" x14ac:dyDescent="0.3">
      <c r="A42" s="51" t="s">
        <v>167</v>
      </c>
      <c r="B42" s="57"/>
      <c r="C42" s="57"/>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row>
    <row r="44" spans="1:33" ht="15" customHeight="1" x14ac:dyDescent="0.3">
      <c r="A44" s="9" t="s">
        <v>168</v>
      </c>
      <c r="D44" s="21">
        <f>IF(D5&gt;0,Assumptions!$B$15*Assumptions!$D$15*(1+Assumptions!$B$71)^(D3-1),0)</f>
        <v>0</v>
      </c>
      <c r="E44" s="21">
        <f>IF(E5&gt;0,Assumptions!$B$15*Assumptions!$D$15*(1+Assumptions!$B$71)^(E3-1),0)</f>
        <v>0</v>
      </c>
      <c r="F44" s="21">
        <f>IF(F5&gt;0,Assumptions!$B$15*Assumptions!$D$15*(1+Assumptions!$B$71)^(F3-1),0)</f>
        <v>12.607499999999998</v>
      </c>
      <c r="G44" s="21">
        <f>IF(G5&gt;0,Assumptions!$B$15*Assumptions!$D$15*(1+Assumptions!$B$71)^(G3-1),0)</f>
        <v>12.922687499999999</v>
      </c>
      <c r="H44" s="21">
        <f>IF(H5&gt;0,Assumptions!$B$15*Assumptions!$D$15*(1+Assumptions!$B$71)^(H3-1),0)</f>
        <v>13.245754687499996</v>
      </c>
      <c r="I44" s="21">
        <f>IF(I5&gt;0,Assumptions!$B$15*Assumptions!$D$15*(1+Assumptions!$B$71)^(I3-1),0)</f>
        <v>13.576898554687496</v>
      </c>
      <c r="J44" s="21">
        <f>IF(J5&gt;0,Assumptions!$B$15*Assumptions!$D$15*(1+Assumptions!$B$71)^(J3-1),0)</f>
        <v>13.916321018554683</v>
      </c>
      <c r="K44" s="21">
        <f>IF(K5&gt;0,Assumptions!$B$15*Assumptions!$D$15*(1+Assumptions!$B$71)^(K3-1),0)</f>
        <v>14.264229044018549</v>
      </c>
      <c r="L44" s="21">
        <f>IF(L5&gt;0,Assumptions!$B$15*Assumptions!$D$15*(1+Assumptions!$B$71)^(L3-1),0)</f>
        <v>14.620834770119012</v>
      </c>
      <c r="M44" s="21">
        <f>IF(M5&gt;0,Assumptions!$B$15*Assumptions!$D$15*(1+Assumptions!$B$71)^(M3-1),0)</f>
        <v>14.986355639371986</v>
      </c>
      <c r="N44" s="21">
        <f>IF(N5&gt;0,Assumptions!$B$15*Assumptions!$D$15*(1+Assumptions!$B$71)^(N3-1),0)</f>
        <v>15.361014530356286</v>
      </c>
      <c r="O44" s="21">
        <f>IF(O5&gt;0,Assumptions!$B$15*Assumptions!$D$15*(1+Assumptions!$B$71)^(O3-1),0)</f>
        <v>15.745039893615193</v>
      </c>
      <c r="P44" s="21">
        <f>IF(P5&gt;0,Assumptions!$B$15*Assumptions!$D$15*(1+Assumptions!$B$71)^(P3-1),0)</f>
        <v>16.138665890955572</v>
      </c>
      <c r="Q44" s="21">
        <f>IF(Q5&gt;0,Assumptions!$B$15*Assumptions!$D$15*(1+Assumptions!$B$71)^(Q3-1),0)</f>
        <v>16.54213253822946</v>
      </c>
      <c r="R44" s="21">
        <f>IF(R5&gt;0,Assumptions!$B$15*Assumptions!$D$15*(1+Assumptions!$B$71)^(R3-1),0)</f>
        <v>16.955685851685192</v>
      </c>
      <c r="S44" s="21">
        <f>IF(S5&gt;0,Assumptions!$B$15*Assumptions!$D$15*(1+Assumptions!$B$71)^(S3-1),0)</f>
        <v>17.379577997977325</v>
      </c>
      <c r="T44" s="21">
        <f>IF(T5&gt;0,Assumptions!$B$15*Assumptions!$D$15*(1+Assumptions!$B$71)^(T3-1),0)</f>
        <v>17.814067447926757</v>
      </c>
      <c r="U44" s="21">
        <f>IF(U5&gt;0,Assumptions!$B$15*Assumptions!$D$15*(1+Assumptions!$B$71)^(U3-1),0)</f>
        <v>18.259419134124926</v>
      </c>
      <c r="V44" s="21">
        <f>IF(V5&gt;0,Assumptions!$B$15*Assumptions!$D$15*(1+Assumptions!$B$71)^(V3-1),0)</f>
        <v>18.715904612478049</v>
      </c>
      <c r="W44" s="21">
        <f>IF(W5&gt;0,Assumptions!$B$15*Assumptions!$D$15*(1+Assumptions!$B$71)^(W3-1),0)</f>
        <v>19.18380222779</v>
      </c>
      <c r="X44" s="21">
        <f>IF(X5&gt;0,Assumptions!$B$15*Assumptions!$D$15*(1+Assumptions!$B$71)^(X3-1),0)</f>
        <v>19.663397283484748</v>
      </c>
      <c r="Y44" s="21">
        <f>IF(Y5&gt;0,Assumptions!$B$15*Assumptions!$D$15*(1+Assumptions!$B$71)^(Y3-1),0)</f>
        <v>20.154982215571863</v>
      </c>
      <c r="Z44" s="21">
        <f>IF(Z5&gt;0,Assumptions!$B$15*Assumptions!$D$15*(1+Assumptions!$B$71)^(Z3-1),0)</f>
        <v>20.658856770961158</v>
      </c>
      <c r="AA44" s="21">
        <f>IF(AA5&gt;0,Assumptions!$B$15*Assumptions!$D$15*(1+Assumptions!$B$71)^(AA3-1),0)</f>
        <v>21.175328190235188</v>
      </c>
      <c r="AB44" s="21">
        <f>IF(AB5&gt;0,Assumptions!$B$15*Assumptions!$D$15*(1+Assumptions!$B$71)^(AB3-1),0)</f>
        <v>21.704711394991065</v>
      </c>
      <c r="AC44" s="21">
        <f>IF(AC5&gt;0,Assumptions!$B$15*Assumptions!$D$15*(1+Assumptions!$B$71)^(AC3-1),0)</f>
        <v>22.24732917986584</v>
      </c>
      <c r="AD44" s="21">
        <f>IF(AD5&gt;0,Assumptions!$B$15*Assumptions!$D$15*(1+Assumptions!$B$71)^(AD3-1),0)</f>
        <v>22.803512409362483</v>
      </c>
      <c r="AE44" s="21">
        <f>IF(AE5&gt;0,Assumptions!$B$15*Assumptions!$D$15*(1+Assumptions!$B$71)^(AE3-1),0)</f>
        <v>23.373600219596547</v>
      </c>
      <c r="AF44" s="21">
        <f>IF(AF5&gt;0,Assumptions!$B$15*Assumptions!$D$15*(1+Assumptions!$B$71)^(AF3-1),0)</f>
        <v>23.957940225086457</v>
      </c>
      <c r="AG44" s="21">
        <f>IF(AG5&gt;0,Assumptions!$B$15*Assumptions!$D$15*(1+Assumptions!$B$71)^(AG3-1),0)</f>
        <v>24.556888730713624</v>
      </c>
    </row>
    <row r="45" spans="1:33" ht="15" customHeight="1" x14ac:dyDescent="0.3">
      <c r="A45" s="9" t="s">
        <v>169</v>
      </c>
      <c r="D45" s="21">
        <f>IF(D6&gt;0,Assumptions!$B$16*Assumptions!$D$16*(1+Assumptions!$B$71)^(D3-1),0)</f>
        <v>0</v>
      </c>
      <c r="E45" s="21">
        <f>IF(E6&gt;0,Assumptions!$B$16*Assumptions!$D$16*(1+Assumptions!$B$71)^(E3-1),0)</f>
        <v>0</v>
      </c>
      <c r="F45" s="21">
        <f>IF(F6&gt;0,Assumptions!$B$16*Assumptions!$D$16*(1+Assumptions!$B$71)^(F3-1),0)</f>
        <v>0</v>
      </c>
      <c r="G45" s="21">
        <f>IF(G6&gt;0,Assumptions!$B$16*Assumptions!$D$16*(1+Assumptions!$B$71)^(G3-1),0)</f>
        <v>12.050406093749999</v>
      </c>
      <c r="H45" s="21">
        <f>IF(H6&gt;0,Assumptions!$B$16*Assumptions!$D$16*(1+Assumptions!$B$71)^(H3-1),0)</f>
        <v>12.351666246093746</v>
      </c>
      <c r="I45" s="21">
        <f>IF(I6&gt;0,Assumptions!$B$16*Assumptions!$D$16*(1+Assumptions!$B$71)^(I3-1),0)</f>
        <v>12.660457902246089</v>
      </c>
      <c r="J45" s="21">
        <f>IF(J6&gt;0,Assumptions!$B$16*Assumptions!$D$16*(1+Assumptions!$B$71)^(J3-1),0)</f>
        <v>12.976969349802241</v>
      </c>
      <c r="K45" s="21">
        <f>IF(K6&gt;0,Assumptions!$B$16*Assumptions!$D$16*(1+Assumptions!$B$71)^(K3-1),0)</f>
        <v>13.301393583547297</v>
      </c>
      <c r="L45" s="21">
        <f>IF(L6&gt;0,Assumptions!$B$16*Assumptions!$D$16*(1+Assumptions!$B$71)^(L3-1),0)</f>
        <v>13.633928423135979</v>
      </c>
      <c r="M45" s="21">
        <f>IF(M6&gt;0,Assumptions!$B$16*Assumptions!$D$16*(1+Assumptions!$B$71)^(M3-1),0)</f>
        <v>13.974776633714376</v>
      </c>
      <c r="N45" s="21">
        <f>IF(N6&gt;0,Assumptions!$B$16*Assumptions!$D$16*(1+Assumptions!$B$71)^(N3-1),0)</f>
        <v>14.324146049557235</v>
      </c>
      <c r="O45" s="21">
        <f>IF(O6&gt;0,Assumptions!$B$16*Assumptions!$D$16*(1+Assumptions!$B$71)^(O3-1),0)</f>
        <v>14.682249700796167</v>
      </c>
      <c r="P45" s="21">
        <f>IF(P6&gt;0,Assumptions!$B$16*Assumptions!$D$16*(1+Assumptions!$B$71)^(P3-1),0)</f>
        <v>15.049305943316069</v>
      </c>
      <c r="Q45" s="21">
        <f>IF(Q6&gt;0,Assumptions!$B$16*Assumptions!$D$16*(1+Assumptions!$B$71)^(Q3-1),0)</f>
        <v>15.42553859189897</v>
      </c>
      <c r="R45" s="21">
        <f>IF(R6&gt;0,Assumptions!$B$16*Assumptions!$D$16*(1+Assumptions!$B$71)^(R3-1),0)</f>
        <v>15.811177056696442</v>
      </c>
      <c r="S45" s="21">
        <f>IF(S6&gt;0,Assumptions!$B$16*Assumptions!$D$16*(1+Assumptions!$B$71)^(S3-1),0)</f>
        <v>16.206456483113854</v>
      </c>
      <c r="T45" s="21">
        <f>IF(T6&gt;0,Assumptions!$B$16*Assumptions!$D$16*(1+Assumptions!$B$71)^(T3-1),0)</f>
        <v>16.611617895191699</v>
      </c>
      <c r="U45" s="21">
        <f>IF(U6&gt;0,Assumptions!$B$16*Assumptions!$D$16*(1+Assumptions!$B$71)^(U3-1),0)</f>
        <v>17.026908342571492</v>
      </c>
      <c r="V45" s="21">
        <f>IF(V6&gt;0,Assumptions!$B$16*Assumptions!$D$16*(1+Assumptions!$B$71)^(V3-1),0)</f>
        <v>17.45258105113578</v>
      </c>
      <c r="W45" s="21">
        <f>IF(W6&gt;0,Assumptions!$B$16*Assumptions!$D$16*(1+Assumptions!$B$71)^(W3-1),0)</f>
        <v>17.888895577414175</v>
      </c>
      <c r="X45" s="21">
        <f>IF(X6&gt;0,Assumptions!$B$16*Assumptions!$D$16*(1+Assumptions!$B$71)^(X3-1),0)</f>
        <v>18.336117966849525</v>
      </c>
      <c r="Y45" s="21">
        <f>IF(Y6&gt;0,Assumptions!$B$16*Assumptions!$D$16*(1+Assumptions!$B$71)^(Y3-1),0)</f>
        <v>18.794520916020762</v>
      </c>
      <c r="Z45" s="21">
        <f>IF(Z6&gt;0,Assumptions!$B$16*Assumptions!$D$16*(1+Assumptions!$B$71)^(Z3-1),0)</f>
        <v>19.264383938921281</v>
      </c>
      <c r="AA45" s="21">
        <f>IF(AA6&gt;0,Assumptions!$B$16*Assumptions!$D$16*(1+Assumptions!$B$71)^(AA3-1),0)</f>
        <v>19.745993537394313</v>
      </c>
      <c r="AB45" s="21">
        <f>IF(AB6&gt;0,Assumptions!$B$16*Assumptions!$D$16*(1+Assumptions!$B$71)^(AB3-1),0)</f>
        <v>20.239643375829168</v>
      </c>
      <c r="AC45" s="21">
        <f>IF(AC6&gt;0,Assumptions!$B$16*Assumptions!$D$16*(1+Assumptions!$B$71)^(AC3-1),0)</f>
        <v>20.745634460224895</v>
      </c>
      <c r="AD45" s="21">
        <f>IF(AD6&gt;0,Assumptions!$B$16*Assumptions!$D$16*(1+Assumptions!$B$71)^(AD3-1),0)</f>
        <v>21.264275321730516</v>
      </c>
      <c r="AE45" s="21">
        <f>IF(AE6&gt;0,Assumptions!$B$16*Assumptions!$D$16*(1+Assumptions!$B$71)^(AE3-1),0)</f>
        <v>21.795882204773779</v>
      </c>
      <c r="AF45" s="21">
        <f>IF(AF6&gt;0,Assumptions!$B$16*Assumptions!$D$16*(1+Assumptions!$B$71)^(AF3-1),0)</f>
        <v>22.340779259893122</v>
      </c>
      <c r="AG45" s="21">
        <f>IF(AG6&gt;0,Assumptions!$B$16*Assumptions!$D$16*(1+Assumptions!$B$71)^(AG3-1),0)</f>
        <v>22.899298741390453</v>
      </c>
    </row>
    <row r="46" spans="1:33" ht="15" customHeight="1" x14ac:dyDescent="0.3">
      <c r="A46" s="9" t="s">
        <v>170</v>
      </c>
      <c r="D46" s="21">
        <f>IF(D6&gt;0,Assumptions!$B$17*Assumptions!$D$17*(1+Assumptions!$B$71)^(D3-1),0)</f>
        <v>0</v>
      </c>
      <c r="E46" s="21">
        <f>IF(E6&gt;0,Assumptions!$B$17*Assumptions!$D$17*(1+Assumptions!$B$71)^(E3-1),0)</f>
        <v>0</v>
      </c>
      <c r="F46" s="21">
        <f>IF(F6&gt;0,Assumptions!$B$17*Assumptions!$D$17*(1+Assumptions!$B$71)^(F3-1),0)</f>
        <v>0</v>
      </c>
      <c r="G46" s="21">
        <f>IF(G6&gt;0,Assumptions!$B$17*Assumptions!$D$17*(1+Assumptions!$B$71)^(G3-1),0)</f>
        <v>7.9259149999999998</v>
      </c>
      <c r="H46" s="21">
        <f>IF(H6&gt;0,Assumptions!$B$17*Assumptions!$D$17*(1+Assumptions!$B$71)^(H3-1),0)</f>
        <v>8.1240628749999981</v>
      </c>
      <c r="I46" s="21">
        <f>IF(I6&gt;0,Assumptions!$B$17*Assumptions!$D$17*(1+Assumptions!$B$71)^(I3-1),0)</f>
        <v>8.3271644468749972</v>
      </c>
      <c r="J46" s="21">
        <f>IF(J6&gt;0,Assumptions!$B$17*Assumptions!$D$17*(1+Assumptions!$B$71)^(J3-1),0)</f>
        <v>8.5353435580468719</v>
      </c>
      <c r="K46" s="21">
        <f>IF(K6&gt;0,Assumptions!$B$17*Assumptions!$D$17*(1+Assumptions!$B$71)^(K3-1),0)</f>
        <v>8.7487271469980445</v>
      </c>
      <c r="L46" s="21">
        <f>IF(L6&gt;0,Assumptions!$B$17*Assumptions!$D$17*(1+Assumptions!$B$71)^(L3-1),0)</f>
        <v>8.967445325672994</v>
      </c>
      <c r="M46" s="21">
        <f>IF(M6&gt;0,Assumptions!$B$17*Assumptions!$D$17*(1+Assumptions!$B$71)^(M3-1),0)</f>
        <v>9.1916314588148182</v>
      </c>
      <c r="N46" s="21">
        <f>IF(N6&gt;0,Assumptions!$B$17*Assumptions!$D$17*(1+Assumptions!$B$71)^(N3-1),0)</f>
        <v>9.4214222452851892</v>
      </c>
      <c r="O46" s="21">
        <f>IF(O6&gt;0,Assumptions!$B$17*Assumptions!$D$17*(1+Assumptions!$B$71)^(O3-1),0)</f>
        <v>9.6569578014173185</v>
      </c>
      <c r="P46" s="21">
        <f>IF(P6&gt;0,Assumptions!$B$17*Assumptions!$D$17*(1+Assumptions!$B$71)^(P3-1),0)</f>
        <v>9.8983817464527508</v>
      </c>
      <c r="Q46" s="21">
        <f>IF(Q6&gt;0,Assumptions!$B$17*Assumptions!$D$17*(1+Assumptions!$B$71)^(Q3-1),0)</f>
        <v>10.145841290114069</v>
      </c>
      <c r="R46" s="21">
        <f>IF(R6&gt;0,Assumptions!$B$17*Assumptions!$D$17*(1+Assumptions!$B$71)^(R3-1),0)</f>
        <v>10.39948732236692</v>
      </c>
      <c r="S46" s="21">
        <f>IF(S6&gt;0,Assumptions!$B$17*Assumptions!$D$17*(1+Assumptions!$B$71)^(S3-1),0)</f>
        <v>10.659474505426093</v>
      </c>
      <c r="T46" s="21">
        <f>IF(T6&gt;0,Assumptions!$B$17*Assumptions!$D$17*(1+Assumptions!$B$71)^(T3-1),0)</f>
        <v>10.925961368061746</v>
      </c>
      <c r="U46" s="21">
        <f>IF(U6&gt;0,Assumptions!$B$17*Assumptions!$D$17*(1+Assumptions!$B$71)^(U3-1),0)</f>
        <v>11.199110402263287</v>
      </c>
      <c r="V46" s="21">
        <f>IF(V6&gt;0,Assumptions!$B$17*Assumptions!$D$17*(1+Assumptions!$B$71)^(V3-1),0)</f>
        <v>11.47908816231987</v>
      </c>
      <c r="W46" s="21">
        <f>IF(W6&gt;0,Assumptions!$B$17*Assumptions!$D$17*(1+Assumptions!$B$71)^(W3-1),0)</f>
        <v>11.766065366377866</v>
      </c>
      <c r="X46" s="21">
        <f>IF(X6&gt;0,Assumptions!$B$17*Assumptions!$D$17*(1+Assumptions!$B$71)^(X3-1),0)</f>
        <v>12.060217000537312</v>
      </c>
      <c r="Y46" s="21">
        <f>IF(Y6&gt;0,Assumptions!$B$17*Assumptions!$D$17*(1+Assumptions!$B$71)^(Y3-1),0)</f>
        <v>12.361722425550743</v>
      </c>
      <c r="Z46" s="21">
        <f>IF(Z6&gt;0,Assumptions!$B$17*Assumptions!$D$17*(1+Assumptions!$B$71)^(Z3-1),0)</f>
        <v>12.670765486189511</v>
      </c>
      <c r="AA46" s="21">
        <f>IF(AA6&gt;0,Assumptions!$B$17*Assumptions!$D$17*(1+Assumptions!$B$71)^(AA3-1),0)</f>
        <v>12.987534623344249</v>
      </c>
      <c r="AB46" s="21">
        <f>IF(AB6&gt;0,Assumptions!$B$17*Assumptions!$D$17*(1+Assumptions!$B$71)^(AB3-1),0)</f>
        <v>13.312222988927855</v>
      </c>
      <c r="AC46" s="21">
        <f>IF(AC6&gt;0,Assumptions!$B$17*Assumptions!$D$17*(1+Assumptions!$B$71)^(AC3-1),0)</f>
        <v>13.645028563651049</v>
      </c>
      <c r="AD46" s="21">
        <f>IF(AD6&gt;0,Assumptions!$B$17*Assumptions!$D$17*(1+Assumptions!$B$71)^(AD3-1),0)</f>
        <v>13.986154277742324</v>
      </c>
      <c r="AE46" s="21">
        <f>IF(AE6&gt;0,Assumptions!$B$17*Assumptions!$D$17*(1+Assumptions!$B$71)^(AE3-1),0)</f>
        <v>14.335808134685882</v>
      </c>
      <c r="AF46" s="21">
        <f>IF(AF6&gt;0,Assumptions!$B$17*Assumptions!$D$17*(1+Assumptions!$B$71)^(AF3-1),0)</f>
        <v>14.694203338053027</v>
      </c>
      <c r="AG46" s="21">
        <f>IF(AG6&gt;0,Assumptions!$B$17*Assumptions!$D$17*(1+Assumptions!$B$71)^(AG3-1),0)</f>
        <v>15.061558421504355</v>
      </c>
    </row>
    <row r="47" spans="1:33" ht="15" customHeight="1" x14ac:dyDescent="0.3">
      <c r="A47" s="9" t="s">
        <v>171</v>
      </c>
      <c r="D47" s="21">
        <f>IF(D3&gt;=Assumptions!$B$9,Assumptions!$B$18*(1+Assumptions!$B$71)^(D3-1),0)</f>
        <v>0</v>
      </c>
      <c r="E47" s="21">
        <f>IF(E3&gt;=Assumptions!$B$9,Assumptions!$B$18*(1+Assumptions!$B$71)^(E3-1),0)</f>
        <v>0</v>
      </c>
      <c r="F47" s="21">
        <f>IF(F3&gt;=Assumptions!$B$9,Assumptions!$B$18*(1+Assumptions!$B$71)^(F3-1),0)</f>
        <v>2.7316249999999997</v>
      </c>
      <c r="G47" s="21">
        <f>IF(G3&gt;=Assumptions!$B$9,Assumptions!$B$18*(1+Assumptions!$B$71)^(G3-1),0)</f>
        <v>2.7999156249999997</v>
      </c>
      <c r="H47" s="21">
        <f>IF(H3&gt;=Assumptions!$B$9,Assumptions!$B$18*(1+Assumptions!$B$71)^(H3-1),0)</f>
        <v>2.8699135156249995</v>
      </c>
      <c r="I47" s="21">
        <f>IF(I3&gt;=Assumptions!$B$9,Assumptions!$B$18*(1+Assumptions!$B$71)^(I3-1),0)</f>
        <v>2.9416613535156242</v>
      </c>
      <c r="J47" s="21">
        <f>IF(J3&gt;=Assumptions!$B$9,Assumptions!$B$18*(1+Assumptions!$B$71)^(J3-1),0)</f>
        <v>3.0152028873535146</v>
      </c>
      <c r="K47" s="21">
        <f>IF(K3&gt;=Assumptions!$B$9,Assumptions!$B$18*(1+Assumptions!$B$71)^(K3-1),0)</f>
        <v>3.0905829595373526</v>
      </c>
      <c r="L47" s="21">
        <f>IF(L3&gt;=Assumptions!$B$9,Assumptions!$B$18*(1+Assumptions!$B$71)^(L3-1),0)</f>
        <v>3.1678475335257863</v>
      </c>
      <c r="M47" s="21">
        <f>IF(M3&gt;=Assumptions!$B$9,Assumptions!$B$18*(1+Assumptions!$B$71)^(M3-1),0)</f>
        <v>3.2470437218639301</v>
      </c>
      <c r="N47" s="21">
        <f>IF(N3&gt;=Assumptions!$B$9,Assumptions!$B$18*(1+Assumptions!$B$71)^(N3-1),0)</f>
        <v>3.3282198149105287</v>
      </c>
      <c r="O47" s="21">
        <f>IF(O3&gt;=Assumptions!$B$9,Assumptions!$B$18*(1+Assumptions!$B$71)^(O3-1),0)</f>
        <v>3.4114253102832919</v>
      </c>
      <c r="P47" s="21">
        <f>IF(P3&gt;=Assumptions!$B$9,Assumptions!$B$18*(1+Assumptions!$B$71)^(P3-1),0)</f>
        <v>3.4967109430403736</v>
      </c>
      <c r="Q47" s="21">
        <f>IF(Q3&gt;=Assumptions!$B$9,Assumptions!$B$18*(1+Assumptions!$B$71)^(Q3-1),0)</f>
        <v>3.5841287166163829</v>
      </c>
      <c r="R47" s="21">
        <f>IF(R3&gt;=Assumptions!$B$9,Assumptions!$B$18*(1+Assumptions!$B$71)^(R3-1),0)</f>
        <v>3.673731934531792</v>
      </c>
      <c r="S47" s="21">
        <f>IF(S3&gt;=Assumptions!$B$9,Assumptions!$B$18*(1+Assumptions!$B$71)^(S3-1),0)</f>
        <v>3.7655752328950873</v>
      </c>
      <c r="T47" s="21">
        <f>IF(T3&gt;=Assumptions!$B$9,Assumptions!$B$18*(1+Assumptions!$B$71)^(T3-1),0)</f>
        <v>3.8597146137174643</v>
      </c>
      <c r="U47" s="21">
        <f>IF(U3&gt;=Assumptions!$B$9,Assumptions!$B$18*(1+Assumptions!$B$71)^(U3-1),0)</f>
        <v>3.9562074790604003</v>
      </c>
      <c r="V47" s="21">
        <f>IF(V3&gt;=Assumptions!$B$9,Assumptions!$B$18*(1+Assumptions!$B$71)^(V3-1),0)</f>
        <v>4.0551126660369103</v>
      </c>
      <c r="W47" s="21">
        <f>IF(W3&gt;=Assumptions!$B$9,Assumptions!$B$18*(1+Assumptions!$B$71)^(W3-1),0)</f>
        <v>4.1564904826878335</v>
      </c>
      <c r="X47" s="21">
        <f>IF(X3&gt;=Assumptions!$B$9,Assumptions!$B$18*(1+Assumptions!$B$71)^(X3-1),0)</f>
        <v>4.2604027447550283</v>
      </c>
      <c r="Y47" s="21">
        <f>IF(Y3&gt;=Assumptions!$B$9,Assumptions!$B$18*(1+Assumptions!$B$71)^(Y3-1),0)</f>
        <v>4.3669128133739035</v>
      </c>
      <c r="Z47" s="21">
        <f>IF(Z3&gt;=Assumptions!$B$9,Assumptions!$B$18*(1+Assumptions!$B$71)^(Z3-1),0)</f>
        <v>4.4760856337082515</v>
      </c>
      <c r="AA47" s="21">
        <f>IF(AA3&gt;=Assumptions!$B$9,Assumptions!$B$18*(1+Assumptions!$B$71)^(AA3-1),0)</f>
        <v>4.5879877745509576</v>
      </c>
      <c r="AB47" s="21">
        <f>IF(AB3&gt;=Assumptions!$B$9,Assumptions!$B$18*(1+Assumptions!$B$71)^(AB3-1),0)</f>
        <v>4.7026874689147311</v>
      </c>
      <c r="AC47" s="21">
        <f>IF(AC3&gt;=Assumptions!$B$9,Assumptions!$B$18*(1+Assumptions!$B$71)^(AC3-1),0)</f>
        <v>4.8202546556375987</v>
      </c>
      <c r="AD47" s="21">
        <f>IF(AD3&gt;=Assumptions!$B$9,Assumptions!$B$18*(1+Assumptions!$B$71)^(AD3-1),0)</f>
        <v>4.9407610220285383</v>
      </c>
      <c r="AE47" s="21">
        <f>IF(AE3&gt;=Assumptions!$B$9,Assumptions!$B$18*(1+Assumptions!$B$71)^(AE3-1),0)</f>
        <v>5.0642800475792518</v>
      </c>
      <c r="AF47" s="21">
        <f>IF(AF3&gt;=Assumptions!$B$9,Assumptions!$B$18*(1+Assumptions!$B$71)^(AF3-1),0)</f>
        <v>5.1908870487687331</v>
      </c>
      <c r="AG47" s="21">
        <f>IF(AG3&gt;=Assumptions!$B$9,Assumptions!$B$18*(1+Assumptions!$B$71)^(AG3-1),0)</f>
        <v>5.3206592249879519</v>
      </c>
    </row>
    <row r="48" spans="1:33" ht="15" customHeight="1" x14ac:dyDescent="0.3">
      <c r="A48" s="13" t="s">
        <v>172</v>
      </c>
      <c r="D48" s="22">
        <f>'Site Detail'!D78+D47</f>
        <v>0</v>
      </c>
      <c r="E48" s="22">
        <f>'Site Detail'!E78+E47</f>
        <v>0</v>
      </c>
      <c r="F48" s="22">
        <f>'Site Detail'!F78+F47</f>
        <v>15.339124999999997</v>
      </c>
      <c r="G48" s="22">
        <f>'Site Detail'!G78+G47</f>
        <v>35.698924218749994</v>
      </c>
      <c r="H48" s="22">
        <f>'Site Detail'!H78+H47</f>
        <v>36.591397324218747</v>
      </c>
      <c r="I48" s="22">
        <f>'Site Detail'!I78+I47</f>
        <v>37.506182257324213</v>
      </c>
      <c r="J48" s="22">
        <f>'Site Detail'!J78+J47</f>
        <v>38.443836813757315</v>
      </c>
      <c r="K48" s="22">
        <f>'Site Detail'!K78+K47</f>
        <v>39.404932734101244</v>
      </c>
      <c r="L48" s="22">
        <f>'Site Detail'!L78+L47</f>
        <v>40.390056052453765</v>
      </c>
      <c r="M48" s="22">
        <f>'Site Detail'!M78+M47</f>
        <v>41.399807453765114</v>
      </c>
      <c r="N48" s="22">
        <f>'Site Detail'!N78+N47</f>
        <v>42.434802640109247</v>
      </c>
      <c r="O48" s="22">
        <f>'Site Detail'!O78+O47</f>
        <v>43.495672706111968</v>
      </c>
      <c r="P48" s="22">
        <f>'Site Detail'!P78+P47</f>
        <v>44.583064523764762</v>
      </c>
      <c r="Q48" s="22">
        <f>'Site Detail'!Q78+Q47</f>
        <v>45.697641136858877</v>
      </c>
      <c r="R48" s="22">
        <f>'Site Detail'!R78+R47</f>
        <v>46.84008216528035</v>
      </c>
      <c r="S48" s="22">
        <f>'Site Detail'!S78+S47</f>
        <v>48.011084219412361</v>
      </c>
      <c r="T48" s="22">
        <f>'Site Detail'!T78+T47</f>
        <v>49.211361324897673</v>
      </c>
      <c r="U48" s="22">
        <f>'Site Detail'!U78+U47</f>
        <v>50.441645358020111</v>
      </c>
      <c r="V48" s="22">
        <f>'Site Detail'!V78+V47</f>
        <v>51.702686491970596</v>
      </c>
      <c r="W48" s="22">
        <f>'Site Detail'!W78+W47</f>
        <v>52.995253654269881</v>
      </c>
      <c r="X48" s="22">
        <f>'Site Detail'!X78+X47</f>
        <v>54.320134995626617</v>
      </c>
      <c r="Y48" s="22">
        <f>'Site Detail'!Y78+Y47</f>
        <v>55.678138370517267</v>
      </c>
      <c r="Z48" s="22">
        <f>'Site Detail'!Z78+Z47</f>
        <v>57.070091829780196</v>
      </c>
      <c r="AA48" s="22">
        <f>'Site Detail'!AA78+AA47</f>
        <v>58.49684412552471</v>
      </c>
      <c r="AB48" s="22">
        <f>'Site Detail'!AB78+AB47</f>
        <v>59.959265228662815</v>
      </c>
      <c r="AC48" s="22">
        <f>'Site Detail'!AC78+AC47</f>
        <v>61.458246859379379</v>
      </c>
      <c r="AD48" s="22">
        <f>'Site Detail'!AD78+AD47</f>
        <v>62.99470303086386</v>
      </c>
      <c r="AE48" s="22">
        <f>'Site Detail'!AE78+AE47</f>
        <v>64.569570606635452</v>
      </c>
      <c r="AF48" s="22">
        <f>'Site Detail'!AF78+AF47</f>
        <v>66.183809871801344</v>
      </c>
      <c r="AG48" s="22">
        <f>'Site Detail'!AG78+AG47</f>
        <v>67.838405118596384</v>
      </c>
    </row>
    <row r="50" spans="1:33" ht="15" customHeight="1" x14ac:dyDescent="0.3">
      <c r="A50" s="58" t="s">
        <v>360</v>
      </c>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row>
    <row r="52" spans="1:33" ht="15" customHeight="1" x14ac:dyDescent="0.3">
      <c r="A52" s="9" t="s">
        <v>173</v>
      </c>
      <c r="D52" s="21">
        <f t="shared" ref="D52:AG52" si="3">D40-D48</f>
        <v>0</v>
      </c>
      <c r="E52" s="21">
        <f t="shared" si="3"/>
        <v>0</v>
      </c>
      <c r="F52" s="21">
        <f t="shared" si="3"/>
        <v>-6.1828512507687492</v>
      </c>
      <c r="G52" s="21">
        <f t="shared" si="3"/>
        <v>-14.561019994194826</v>
      </c>
      <c r="H52" s="21">
        <f t="shared" si="3"/>
        <v>-10.471970324715599</v>
      </c>
      <c r="I52" s="21">
        <f t="shared" si="3"/>
        <v>-5.9068610880649288</v>
      </c>
      <c r="J52" s="21">
        <f t="shared" si="3"/>
        <v>-2.5509526763150276</v>
      </c>
      <c r="K52" s="21">
        <f t="shared" si="3"/>
        <v>-0.54921473719782199</v>
      </c>
      <c r="L52" s="21">
        <f t="shared" si="3"/>
        <v>0.54223846413286481</v>
      </c>
      <c r="M52" s="21">
        <f t="shared" si="3"/>
        <v>1.688607584740808</v>
      </c>
      <c r="N52" s="21">
        <f t="shared" si="3"/>
        <v>2.021498772285554</v>
      </c>
      <c r="O52" s="21">
        <f t="shared" si="3"/>
        <v>2.369979139467091</v>
      </c>
      <c r="P52" s="21">
        <f t="shared" si="3"/>
        <v>2.6701915080384566</v>
      </c>
      <c r="Q52" s="21">
        <f t="shared" si="3"/>
        <v>2.7369462957394148</v>
      </c>
      <c r="R52" s="21">
        <f t="shared" si="3"/>
        <v>2.8053699531329102</v>
      </c>
      <c r="S52" s="21">
        <f t="shared" si="3"/>
        <v>2.8755042019612205</v>
      </c>
      <c r="T52" s="21">
        <f t="shared" si="3"/>
        <v>2.9473918070102485</v>
      </c>
      <c r="U52" s="21">
        <f t="shared" si="3"/>
        <v>3.0210766021855022</v>
      </c>
      <c r="V52" s="21">
        <f t="shared" si="3"/>
        <v>3.0966035172401618</v>
      </c>
      <c r="W52" s="21">
        <f t="shared" si="3"/>
        <v>3.1740186051711348</v>
      </c>
      <c r="X52" s="21">
        <f t="shared" si="3"/>
        <v>3.2533690703004225</v>
      </c>
      <c r="Y52" s="21">
        <f t="shared" si="3"/>
        <v>3.334703297057942</v>
      </c>
      <c r="Z52" s="21">
        <f t="shared" si="3"/>
        <v>3.4180708794843895</v>
      </c>
      <c r="AA52" s="21">
        <f t="shared" si="3"/>
        <v>3.5035226514714992</v>
      </c>
      <c r="AB52" s="21">
        <f t="shared" si="3"/>
        <v>3.5911107177583048</v>
      </c>
      <c r="AC52" s="21">
        <f t="shared" si="3"/>
        <v>3.6808884857022477</v>
      </c>
      <c r="AD52" s="21">
        <f t="shared" si="3"/>
        <v>3.772910697844793</v>
      </c>
      <c r="AE52" s="21">
        <f t="shared" si="3"/>
        <v>3.8672334652909228</v>
      </c>
      <c r="AF52" s="21">
        <f t="shared" si="3"/>
        <v>3.9639143019231966</v>
      </c>
      <c r="AG52" s="21">
        <f t="shared" si="3"/>
        <v>4.0630121594712563</v>
      </c>
    </row>
    <row r="53" spans="1:33" ht="15" customHeight="1" x14ac:dyDescent="0.3">
      <c r="A53" s="9" t="s">
        <v>174</v>
      </c>
      <c r="D53" s="21">
        <f>MAX(0,(D52-IF(D3&gt;Assumptions!$B$65,D21,0)-D97)*Assumptions!$B$70)</f>
        <v>0</v>
      </c>
      <c r="E53" s="21">
        <f>MAX(0,(E52-IF(E3&gt;Assumptions!$B$65,E21,0)-E97)*Assumptions!$B$70)</f>
        <v>0</v>
      </c>
      <c r="F53" s="21">
        <f>MAX(0,(F52-IF(F3&gt;Assumptions!$B$65,F21,0)-F97)*Assumptions!$B$70)</f>
        <v>0</v>
      </c>
      <c r="G53" s="21">
        <f>MAX(0,(G52-IF(G3&gt;Assumptions!$B$65,G21,0)-G97)*Assumptions!$B$70)</f>
        <v>0</v>
      </c>
      <c r="H53" s="21">
        <f>MAX(0,(H52-IF(H3&gt;Assumptions!$B$65,H21,0)-H97)*Assumptions!$B$70)</f>
        <v>0</v>
      </c>
      <c r="I53" s="21">
        <f>MAX(0,(I52-IF(I3&gt;Assumptions!$B$65,I21,0)-I97)*Assumptions!$B$70)</f>
        <v>0</v>
      </c>
      <c r="J53" s="21">
        <f>MAX(0,(J52-IF(J3&gt;Assumptions!$B$65,J21,0)-J97)*Assumptions!$B$70)</f>
        <v>0</v>
      </c>
      <c r="K53" s="21">
        <f>MAX(0,(K52-IF(K3&gt;Assumptions!$B$65,K21,0)-K97)*Assumptions!$B$70)</f>
        <v>0</v>
      </c>
      <c r="L53" s="21">
        <f>MAX(0,(L52-IF(L3&gt;Assumptions!$B$65,L21,0)-L97)*Assumptions!$B$70)</f>
        <v>0</v>
      </c>
      <c r="M53" s="21">
        <f>MAX(0,(M52-IF(M3&gt;Assumptions!$B$65,M21,0)-M97)*Assumptions!$B$70)</f>
        <v>0</v>
      </c>
      <c r="N53" s="21">
        <f>MAX(0,(N52-IF(N3&gt;Assumptions!$B$65,N21,0)-N97)*Assumptions!$B$70)</f>
        <v>0</v>
      </c>
      <c r="O53" s="21">
        <f>MAX(0,(O52-IF(O3&gt;Assumptions!$B$65,O21,0)-O97)*Assumptions!$B$70)</f>
        <v>0</v>
      </c>
      <c r="P53" s="21">
        <f>MAX(0,(P52-IF(P3&gt;Assumptions!$B$65,P21,0)-P97)*Assumptions!$B$70)</f>
        <v>0</v>
      </c>
      <c r="Q53" s="21">
        <f>MAX(0,(Q52-IF(Q3&gt;Assumptions!$B$65,Q21,0)-Q97)*Assumptions!$B$70)</f>
        <v>0</v>
      </c>
      <c r="R53" s="21">
        <f>MAX(0,(R52-IF(R3&gt;Assumptions!$B$65,R21,0)-R97)*Assumptions!$B$70)</f>
        <v>0</v>
      </c>
      <c r="S53" s="21">
        <f>MAX(0,(S52-IF(S3&gt;Assumptions!$B$65,S21,0)-S97)*Assumptions!$B$70)</f>
        <v>0</v>
      </c>
      <c r="T53" s="21">
        <f>MAX(0,(T52-IF(T3&gt;Assumptions!$B$65,T21,0)-T97)*Assumptions!$B$70)</f>
        <v>0</v>
      </c>
      <c r="U53" s="21">
        <f>MAX(0,(U52-IF(U3&gt;Assumptions!$B$65,U21,0)-U97)*Assumptions!$B$70)</f>
        <v>0</v>
      </c>
      <c r="V53" s="21">
        <f>MAX(0,(V52-IF(V3&gt;Assumptions!$B$65,V21,0)-V97)*Assumptions!$B$70)</f>
        <v>0</v>
      </c>
      <c r="W53" s="21">
        <f>MAX(0,(W52-IF(W3&gt;Assumptions!$B$65,W21,0)-W97)*Assumptions!$B$70)</f>
        <v>0</v>
      </c>
      <c r="X53" s="21">
        <f>MAX(0,(X52-IF(X3&gt;Assumptions!$B$65,X21,0)-X97)*Assumptions!$B$70)</f>
        <v>0</v>
      </c>
      <c r="Y53" s="21">
        <f>MAX(0,(Y52-IF(Y3&gt;Assumptions!$B$65,Y21,0)-Y97)*Assumptions!$B$70)</f>
        <v>0</v>
      </c>
      <c r="Z53" s="21">
        <f>MAX(0,(Z52-IF(Z3&gt;Assumptions!$B$65,Z21,0)-Z97)*Assumptions!$B$70)</f>
        <v>0</v>
      </c>
      <c r="AA53" s="21">
        <f>MAX(0,(AA52-IF(AA3&gt;Assumptions!$B$65,AA21,0)-AA97)*Assumptions!$B$70)</f>
        <v>0</v>
      </c>
      <c r="AB53" s="21">
        <f>MAX(0,(AB52-IF(AB3&gt;Assumptions!$B$65,AB21,0)-AB97)*Assumptions!$B$70)</f>
        <v>0.13742628175509419</v>
      </c>
      <c r="AC53" s="21">
        <f>MAX(0,(AC52-IF(AC3&gt;Assumptions!$B$65,AC21,0)-AC97)*Assumptions!$B$70)</f>
        <v>0.3615096631591681</v>
      </c>
      <c r="AD53" s="21">
        <f>MAX(0,(AD52-IF(AD3&gt;Assumptions!$B$65,AD21,0)-AD97)*Assumptions!$B$70)</f>
        <v>0.59729629393629458</v>
      </c>
      <c r="AE53" s="21">
        <f>MAX(0,(AE52-IF(AE3&gt;Assumptions!$B$65,AE21,0)-AE97)*Assumptions!$B$70)</f>
        <v>0.64018715170503093</v>
      </c>
      <c r="AF53" s="21">
        <f>MAX(0,(AF52-IF(AF3&gt;Assumptions!$B$65,AF21,0)-AF97)*Assumptions!$B$70)</f>
        <v>0.68229919640703796</v>
      </c>
      <c r="AG53" s="21">
        <f>MAX(0,(AG52-IF(AG3&gt;Assumptions!$B$65,AG21,0)-AG97)*Assumptions!$B$70)</f>
        <v>0.72378255681515702</v>
      </c>
    </row>
    <row r="54" spans="1:33" ht="15" customHeight="1" x14ac:dyDescent="0.3">
      <c r="A54" s="13" t="s">
        <v>175</v>
      </c>
      <c r="D54" s="22">
        <f t="shared" ref="D54:AG54" si="4">D52-D53+D113</f>
        <v>0</v>
      </c>
      <c r="E54" s="22">
        <f t="shared" si="4"/>
        <v>0</v>
      </c>
      <c r="F54" s="22">
        <f t="shared" si="4"/>
        <v>-6.1828512507687492</v>
      </c>
      <c r="G54" s="22">
        <f t="shared" si="4"/>
        <v>-14.561019994194826</v>
      </c>
      <c r="H54" s="22">
        <f t="shared" si="4"/>
        <v>-12.301540190926536</v>
      </c>
      <c r="I54" s="22">
        <f t="shared" si="4"/>
        <v>-5.9526003347202021</v>
      </c>
      <c r="J54" s="22">
        <f t="shared" si="4"/>
        <v>-2.5978354041366827</v>
      </c>
      <c r="K54" s="22">
        <f t="shared" si="4"/>
        <v>-0.59726953321501863</v>
      </c>
      <c r="L54" s="22">
        <f t="shared" si="4"/>
        <v>0.49298229821523876</v>
      </c>
      <c r="M54" s="22">
        <f t="shared" si="4"/>
        <v>1.6381200146752408</v>
      </c>
      <c r="N54" s="22">
        <f t="shared" si="4"/>
        <v>1.969749012968347</v>
      </c>
      <c r="O54" s="22">
        <f t="shared" si="4"/>
        <v>2.3169356361669551</v>
      </c>
      <c r="P54" s="22">
        <f t="shared" si="4"/>
        <v>2.615821917155817</v>
      </c>
      <c r="Q54" s="22">
        <f t="shared" si="4"/>
        <v>2.6812174650847092</v>
      </c>
      <c r="R54" s="22">
        <f t="shared" si="4"/>
        <v>2.7482479017118364</v>
      </c>
      <c r="S54" s="22">
        <f t="shared" si="4"/>
        <v>2.8169540992546196</v>
      </c>
      <c r="T54" s="22">
        <f t="shared" si="4"/>
        <v>2.8873779517359832</v>
      </c>
      <c r="U54" s="22">
        <f t="shared" si="4"/>
        <v>2.9595624005293804</v>
      </c>
      <c r="V54" s="22">
        <f t="shared" si="4"/>
        <v>3.0335514605426375</v>
      </c>
      <c r="W54" s="22">
        <f t="shared" si="4"/>
        <v>3.1093902470561705</v>
      </c>
      <c r="X54" s="22">
        <f t="shared" si="4"/>
        <v>3.1871250032325857</v>
      </c>
      <c r="Y54" s="22">
        <f t="shared" si="4"/>
        <v>3.2668031283134096</v>
      </c>
      <c r="Z54" s="22">
        <f t="shared" si="4"/>
        <v>3.348473206521243</v>
      </c>
      <c r="AA54" s="22">
        <f t="shared" si="4"/>
        <v>3.4321850366842734</v>
      </c>
      <c r="AB54" s="22">
        <f t="shared" si="4"/>
        <v>3.3805633808463051</v>
      </c>
      <c r="AC54" s="22">
        <f t="shared" si="4"/>
        <v>3.2444297410072509</v>
      </c>
      <c r="AD54" s="22">
        <f t="shared" si="4"/>
        <v>3.0987915953342746</v>
      </c>
      <c r="AE54" s="22">
        <f t="shared" si="4"/>
        <v>3.1483029347973126</v>
      </c>
      <c r="AF54" s="22">
        <f t="shared" si="4"/>
        <v>3.200903142257864</v>
      </c>
      <c r="AG54" s="22">
        <f t="shared" si="4"/>
        <v>6.6484200962461664</v>
      </c>
    </row>
    <row r="55" spans="1:33" ht="15" customHeight="1" x14ac:dyDescent="0.3">
      <c r="A55" s="9" t="s">
        <v>176</v>
      </c>
      <c r="D55" s="21">
        <f t="shared" ref="D55:AG55" si="5">D23</f>
        <v>0</v>
      </c>
      <c r="E55" s="21">
        <f t="shared" si="5"/>
        <v>0</v>
      </c>
      <c r="F55" s="21">
        <f t="shared" si="5"/>
        <v>0</v>
      </c>
      <c r="G55" s="21">
        <f t="shared" si="5"/>
        <v>0</v>
      </c>
      <c r="H55" s="21">
        <f t="shared" si="5"/>
        <v>11.463167724007096</v>
      </c>
      <c r="I55" s="21">
        <f t="shared" si="5"/>
        <v>11.463167724007096</v>
      </c>
      <c r="J55" s="21">
        <f t="shared" si="5"/>
        <v>11.463167724007096</v>
      </c>
      <c r="K55" s="21">
        <f t="shared" si="5"/>
        <v>11.463167724007096</v>
      </c>
      <c r="L55" s="21">
        <f t="shared" si="5"/>
        <v>11.463167724007096</v>
      </c>
      <c r="M55" s="21">
        <f t="shared" si="5"/>
        <v>11.463167724007096</v>
      </c>
      <c r="N55" s="21">
        <f t="shared" si="5"/>
        <v>11.463167724007096</v>
      </c>
      <c r="O55" s="21">
        <f t="shared" si="5"/>
        <v>11.463167724007096</v>
      </c>
      <c r="P55" s="21">
        <f t="shared" si="5"/>
        <v>11.463167724007096</v>
      </c>
      <c r="Q55" s="21">
        <f t="shared" si="5"/>
        <v>11.463167724007096</v>
      </c>
      <c r="R55" s="21">
        <f t="shared" si="5"/>
        <v>11.463167724007096</v>
      </c>
      <c r="S55" s="21">
        <f t="shared" si="5"/>
        <v>11.463167724007096</v>
      </c>
      <c r="T55" s="21">
        <f t="shared" si="5"/>
        <v>11.463167724007096</v>
      </c>
      <c r="U55" s="21">
        <f t="shared" si="5"/>
        <v>11.463167724007096</v>
      </c>
      <c r="V55" s="21">
        <f t="shared" si="5"/>
        <v>11.463167724007096</v>
      </c>
      <c r="W55" s="21">
        <f t="shared" si="5"/>
        <v>11.463167724007096</v>
      </c>
      <c r="X55" s="21">
        <f t="shared" si="5"/>
        <v>11.463167724007096</v>
      </c>
      <c r="Y55" s="21">
        <f t="shared" si="5"/>
        <v>11.463167724007096</v>
      </c>
      <c r="Z55" s="21">
        <f t="shared" si="5"/>
        <v>11.463167724007096</v>
      </c>
      <c r="AA55" s="21">
        <f t="shared" si="5"/>
        <v>11.463167724007096</v>
      </c>
      <c r="AB55" s="21">
        <f t="shared" si="5"/>
        <v>11.463167724007096</v>
      </c>
      <c r="AC55" s="21">
        <f t="shared" si="5"/>
        <v>11.463167724007096</v>
      </c>
      <c r="AD55" s="21">
        <f t="shared" si="5"/>
        <v>0</v>
      </c>
      <c r="AE55" s="21">
        <f t="shared" si="5"/>
        <v>0</v>
      </c>
      <c r="AF55" s="21">
        <f t="shared" si="5"/>
        <v>0</v>
      </c>
      <c r="AG55" s="21">
        <f t="shared" si="5"/>
        <v>0</v>
      </c>
    </row>
    <row r="56" spans="1:33" ht="15" customHeight="1" x14ac:dyDescent="0.3">
      <c r="A56" s="9" t="s">
        <v>177</v>
      </c>
      <c r="D56" s="15" t="str">
        <f t="shared" ref="D56:AG56" si="6">IF(D55=0,"-",D54/D55)</f>
        <v>-</v>
      </c>
      <c r="E56" s="15" t="str">
        <f t="shared" si="6"/>
        <v>-</v>
      </c>
      <c r="F56" s="15" t="str">
        <f t="shared" si="6"/>
        <v>-</v>
      </c>
      <c r="G56" s="15" t="str">
        <f t="shared" si="6"/>
        <v>-</v>
      </c>
      <c r="H56" s="15">
        <f t="shared" si="6"/>
        <v>-1.0731361947329492</v>
      </c>
      <c r="I56" s="15">
        <f t="shared" si="6"/>
        <v>-0.51928057566965402</v>
      </c>
      <c r="J56" s="15">
        <f t="shared" si="6"/>
        <v>-0.22662456545027121</v>
      </c>
      <c r="K56" s="15">
        <f t="shared" si="6"/>
        <v>-5.2103358128850225E-2</v>
      </c>
      <c r="L56" s="15">
        <f t="shared" si="6"/>
        <v>4.3005765080344698E-2</v>
      </c>
      <c r="M56" s="15">
        <f t="shared" si="6"/>
        <v>0.14290290904882749</v>
      </c>
      <c r="N56" s="15">
        <f t="shared" si="6"/>
        <v>0.17183287031935673</v>
      </c>
      <c r="O56" s="15">
        <f t="shared" si="6"/>
        <v>0.20212001533525853</v>
      </c>
      <c r="P56" s="15">
        <f t="shared" si="6"/>
        <v>0.22819363548851776</v>
      </c>
      <c r="Q56" s="15">
        <f t="shared" si="6"/>
        <v>0.23389847637573041</v>
      </c>
      <c r="R56" s="15">
        <f t="shared" si="6"/>
        <v>0.2397459382851245</v>
      </c>
      <c r="S56" s="15">
        <f t="shared" si="6"/>
        <v>0.24573958674225149</v>
      </c>
      <c r="T56" s="15">
        <f t="shared" si="6"/>
        <v>0.25188307641080765</v>
      </c>
      <c r="U56" s="15">
        <f t="shared" si="6"/>
        <v>0.25818015332107763</v>
      </c>
      <c r="V56" s="15">
        <f t="shared" si="6"/>
        <v>0.2646346571541065</v>
      </c>
      <c r="W56" s="15">
        <f t="shared" si="6"/>
        <v>0.27125052358295632</v>
      </c>
      <c r="X56" s="15">
        <f t="shared" si="6"/>
        <v>0.2780317866725312</v>
      </c>
      <c r="Y56" s="15">
        <f t="shared" si="6"/>
        <v>0.28498258133934523</v>
      </c>
      <c r="Z56" s="15">
        <f t="shared" si="6"/>
        <v>0.29210714587282871</v>
      </c>
      <c r="AA56" s="15">
        <f t="shared" si="6"/>
        <v>0.29940982451964937</v>
      </c>
      <c r="AB56" s="15">
        <f t="shared" si="6"/>
        <v>0.29490656180197511</v>
      </c>
      <c r="AC56" s="15">
        <f t="shared" si="6"/>
        <v>0.28303081828005561</v>
      </c>
      <c r="AD56" s="15" t="str">
        <f t="shared" si="6"/>
        <v>-</v>
      </c>
      <c r="AE56" s="15" t="str">
        <f t="shared" si="6"/>
        <v>-</v>
      </c>
      <c r="AF56" s="15" t="str">
        <f t="shared" si="6"/>
        <v>-</v>
      </c>
      <c r="AG56" s="15" t="str">
        <f t="shared" si="6"/>
        <v>-</v>
      </c>
    </row>
    <row r="57" spans="1:33" ht="15" customHeight="1" x14ac:dyDescent="0.3">
      <c r="A57" s="13" t="s">
        <v>178</v>
      </c>
      <c r="D57" s="22">
        <f>IF(D3&lt;=Assumptions!$B$65,-D15,D54-D55)+D115+D116</f>
        <v>-7.1669999999999998</v>
      </c>
      <c r="E57" s="22">
        <f>IF(E3&lt;=Assumptions!$B$65,-E15,E54-E55)+E115+E116</f>
        <v>-15.231</v>
      </c>
      <c r="F57" s="22">
        <f>IF(F3&lt;=Assumptions!$B$65,-F15,F54-F55)+F115+F116</f>
        <v>-17.672999999999998</v>
      </c>
      <c r="G57" s="22">
        <f>IF(G3&lt;=Assumptions!$B$65,-G15,G54-G55)+G115+G116</f>
        <v>-12.160583862003547</v>
      </c>
      <c r="H57" s="22">
        <f>IF(H3&lt;=Assumptions!$B$65,-H15,H54-H55)+H115+H116</f>
        <v>-23.764707914933631</v>
      </c>
      <c r="I57" s="22">
        <f>IF(I3&lt;=Assumptions!$B$65,-I15,I54-I55)+I115+I116</f>
        <v>-17.415768058727298</v>
      </c>
      <c r="J57" s="22">
        <f>IF(J3&lt;=Assumptions!$B$65,-J15,J54-J55)+J115+J116</f>
        <v>-14.06100312814378</v>
      </c>
      <c r="K57" s="22">
        <f>IF(K3&lt;=Assumptions!$B$65,-K15,K54-K55)+K115+K116</f>
        <v>-12.060437257222116</v>
      </c>
      <c r="L57" s="22">
        <f>IF(L3&lt;=Assumptions!$B$65,-L15,L54-L55)+L115+L116</f>
        <v>-10.970185425791858</v>
      </c>
      <c r="M57" s="22">
        <f>IF(M3&lt;=Assumptions!$B$65,-M15,M54-M55)+M115+M116</f>
        <v>-9.8250477093318551</v>
      </c>
      <c r="N57" s="22">
        <f>IF(N3&lt;=Assumptions!$B$65,-N15,N54-N55)+N115+N116</f>
        <v>-9.4934187110387498</v>
      </c>
      <c r="O57" s="22">
        <f>IF(O3&lt;=Assumptions!$B$65,-O15,O54-O55)+O115+O116</f>
        <v>-9.1462320878401417</v>
      </c>
      <c r="P57" s="22">
        <f>IF(P3&lt;=Assumptions!$B$65,-P15,P54-P55)+P115+P116</f>
        <v>-8.8473458068512798</v>
      </c>
      <c r="Q57" s="22">
        <f>IF(Q3&lt;=Assumptions!$B$65,-Q15,Q54-Q55)+Q115+Q116</f>
        <v>-8.7819502589223877</v>
      </c>
      <c r="R57" s="22">
        <f>IF(R3&lt;=Assumptions!$B$65,-R15,R54-R55)+R115+R116</f>
        <v>-8.7149198222952595</v>
      </c>
      <c r="S57" s="22">
        <f>IF(S3&lt;=Assumptions!$B$65,-S15,S54-S55)+S115+S116</f>
        <v>-8.6462136247524768</v>
      </c>
      <c r="T57" s="22">
        <f>IF(T3&lt;=Assumptions!$B$65,-T15,T54-T55)+T115+T116</f>
        <v>-8.5757897722711132</v>
      </c>
      <c r="U57" s="22">
        <f>IF(U3&lt;=Assumptions!$B$65,-U15,U54-U55)+U115+U116</f>
        <v>-8.503605323477716</v>
      </c>
      <c r="V57" s="22">
        <f>IF(V3&lt;=Assumptions!$B$65,-V15,V54-V55)+V115+V116</f>
        <v>-8.4296162634644585</v>
      </c>
      <c r="W57" s="22">
        <f>IF(W3&lt;=Assumptions!$B$65,-W15,W54-W55)+W115+W116</f>
        <v>-8.3537774769509259</v>
      </c>
      <c r="X57" s="22">
        <f>IF(X3&lt;=Assumptions!$B$65,-X15,X54-X55)+X115+X116</f>
        <v>-8.2760427207745106</v>
      </c>
      <c r="Y57" s="22">
        <f>IF(Y3&lt;=Assumptions!$B$65,-Y15,Y54-Y55)+Y115+Y116</f>
        <v>-8.1963645956936872</v>
      </c>
      <c r="Z57" s="22">
        <f>IF(Z3&lt;=Assumptions!$B$65,-Z15,Z54-Z55)+Z115+Z116</f>
        <v>-8.1146945174858534</v>
      </c>
      <c r="AA57" s="22">
        <f>IF(AA3&lt;=Assumptions!$B$65,-AA15,AA54-AA55)+AA115+AA116</f>
        <v>-8.0309826873228225</v>
      </c>
      <c r="AB57" s="22">
        <f>IF(AB3&lt;=Assumptions!$B$65,-AB15,AB54-AB55)+AB115+AB116</f>
        <v>-8.0826043431607921</v>
      </c>
      <c r="AC57" s="22">
        <f>IF(AC3&lt;=Assumptions!$B$65,-AC15,AC54-AC55)+AC115+AC116</f>
        <v>-2.4871541209962977</v>
      </c>
      <c r="AD57" s="22">
        <f>IF(AD3&lt;=Assumptions!$B$65,-AD15,AD54-AD55)+AD115+AD116</f>
        <v>3.0987915953342746</v>
      </c>
      <c r="AE57" s="22">
        <f>IF(AE3&lt;=Assumptions!$B$65,-AE15,AE54-AE55)+AE115+AE116</f>
        <v>3.1483029347973126</v>
      </c>
      <c r="AF57" s="22">
        <f>IF(AF3&lt;=Assumptions!$B$65,-AF15,AF54-AF55)+AF115+AF116</f>
        <v>3.200903142257864</v>
      </c>
      <c r="AG57" s="22">
        <f>IF(AG3&lt;=Assumptions!$B$65,-AG15,AG54-AG55)+AG115+AG116</f>
        <v>31.026493053073704</v>
      </c>
    </row>
    <row r="59" spans="1:33" ht="15" customHeight="1" x14ac:dyDescent="0.3">
      <c r="A59" s="58" t="s">
        <v>361</v>
      </c>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row>
    <row r="61" spans="1:33" ht="15" customHeight="1" x14ac:dyDescent="0.3">
      <c r="A61" s="13" t="s">
        <v>179</v>
      </c>
      <c r="D61" s="22">
        <f>IF(D3&lt;=Assumptions!$B$65,0,MAX(0,D55*Assumptions!$B$66-D54)+Assumptions!$B$99)</f>
        <v>0</v>
      </c>
      <c r="E61" s="22">
        <f>IF(E3&lt;=Assumptions!$B$65,0,MAX(0,E55*Assumptions!$B$66-E54)+Assumptions!$B$99)</f>
        <v>0</v>
      </c>
      <c r="F61" s="22">
        <f>IF(F3&lt;=Assumptions!$B$65,0,MAX(0,F55*Assumptions!$B$66-F54)+Assumptions!$B$99)</f>
        <v>0</v>
      </c>
      <c r="G61" s="22">
        <f>IF(G3&lt;=Assumptions!$B$65,0,MAX(0,G55*Assumptions!$B$66-G54)+Assumptions!$B$99)</f>
        <v>0</v>
      </c>
      <c r="H61" s="22">
        <f>IF(H3&lt;=Assumptions!$B$65,0,MAX(0,H55*Assumptions!$B$66-H54)+Assumptions!$B$99)</f>
        <v>34.216816618336118</v>
      </c>
      <c r="I61" s="22">
        <f>IF(I3&lt;=Assumptions!$B$65,0,MAX(0,I55*Assumptions!$B$66-I54)+Assumptions!$B$99)</f>
        <v>27.867876762129786</v>
      </c>
      <c r="J61" s="22">
        <f>IF(J3&lt;=Assumptions!$B$65,0,MAX(0,J55*Assumptions!$B$66-J54)+Assumptions!$B$99)</f>
        <v>24.513111831546265</v>
      </c>
      <c r="K61" s="22">
        <f>IF(K3&lt;=Assumptions!$B$65,0,MAX(0,K55*Assumptions!$B$66-K54)+Assumptions!$B$99)</f>
        <v>22.5125459606246</v>
      </c>
      <c r="L61" s="22">
        <f>IF(L3&lt;=Assumptions!$B$65,0,MAX(0,L55*Assumptions!$B$66-L54)+Assumptions!$B$99)</f>
        <v>21.422294129194341</v>
      </c>
      <c r="M61" s="22">
        <f>IF(M3&lt;=Assumptions!$B$65,0,MAX(0,M55*Assumptions!$B$66-M54)+Assumptions!$B$99)</f>
        <v>20.277156412734339</v>
      </c>
      <c r="N61" s="22">
        <f>IF(N3&lt;=Assumptions!$B$65,0,MAX(0,N55*Assumptions!$B$66-N54)+Assumptions!$B$99)</f>
        <v>19.945527414441234</v>
      </c>
      <c r="O61" s="22">
        <f>IF(O3&lt;=Assumptions!$B$65,0,MAX(0,O55*Assumptions!$B$66-O54)+Assumptions!$B$99)</f>
        <v>19.598340791242627</v>
      </c>
      <c r="P61" s="22">
        <f>IF(P3&lt;=Assumptions!$B$65,0,MAX(0,P55*Assumptions!$B$66-P54)+Assumptions!$B$99)</f>
        <v>19.299454510253764</v>
      </c>
      <c r="Q61" s="22">
        <f>IF(Q3&lt;=Assumptions!$B$65,0,MAX(0,Q55*Assumptions!$B$66-Q54)+Assumptions!$B$99)</f>
        <v>19.234058962324873</v>
      </c>
      <c r="R61" s="22">
        <f>IF(R3&lt;=Assumptions!$B$65,0,MAX(0,R55*Assumptions!$B$66-R54)+Assumptions!$B$99)</f>
        <v>19.167028525697745</v>
      </c>
      <c r="S61" s="22">
        <f>IF(S3&lt;=Assumptions!$B$65,0,MAX(0,S55*Assumptions!$B$66-S54)+Assumptions!$B$99)</f>
        <v>19.098322328154961</v>
      </c>
      <c r="T61" s="22">
        <f>IF(T3&lt;=Assumptions!$B$65,0,MAX(0,T55*Assumptions!$B$66-T54)+Assumptions!$B$99)</f>
        <v>19.027898475673599</v>
      </c>
      <c r="U61" s="22">
        <f>IF(U3&lt;=Assumptions!$B$65,0,MAX(0,U55*Assumptions!$B$66-U54)+Assumptions!$B$99)</f>
        <v>18.955714026880202</v>
      </c>
      <c r="V61" s="22">
        <f>IF(V3&lt;=Assumptions!$B$65,0,MAX(0,V55*Assumptions!$B$66-V54)+Assumptions!$B$99)</f>
        <v>18.881724966866944</v>
      </c>
      <c r="W61" s="22">
        <f>IF(W3&lt;=Assumptions!$B$65,0,MAX(0,W55*Assumptions!$B$66-W54)+Assumptions!$B$99)</f>
        <v>18.805886180353411</v>
      </c>
      <c r="X61" s="22">
        <f>IF(X3&lt;=Assumptions!$B$65,0,MAX(0,X55*Assumptions!$B$66-X54)+Assumptions!$B$99)</f>
        <v>18.728151424176996</v>
      </c>
      <c r="Y61" s="22">
        <f>IF(Y3&lt;=Assumptions!$B$65,0,MAX(0,Y55*Assumptions!$B$66-Y54)+Assumptions!$B$99)</f>
        <v>18.648473299096171</v>
      </c>
      <c r="Z61" s="22">
        <f>IF(Z3&lt;=Assumptions!$B$65,0,MAX(0,Z55*Assumptions!$B$66-Z54)+Assumptions!$B$99)</f>
        <v>18.566803220888339</v>
      </c>
      <c r="AA61" s="22">
        <f>IF(AA3&lt;=Assumptions!$B$65,0,MAX(0,AA55*Assumptions!$B$66-AA54)+Assumptions!$B$99)</f>
        <v>18.483091390725306</v>
      </c>
      <c r="AB61" s="22">
        <f>IF(AB3&lt;=Assumptions!$B$65,0,MAX(0,AB55*Assumptions!$B$66-AB54)+Assumptions!$B$99)</f>
        <v>18.534713046563276</v>
      </c>
      <c r="AC61" s="22">
        <f>IF(AC3&lt;=Assumptions!$B$65,0,MAX(0,AC55*Assumptions!$B$66-AC54)+Assumptions!$B$99)</f>
        <v>18.670846686402331</v>
      </c>
      <c r="AD61" s="22">
        <f>IF(AD3&lt;=Assumptions!$B$65,0,MAX(0,AD55*Assumptions!$B$66-AD54)+Assumptions!$B$99)</f>
        <v>6.44</v>
      </c>
      <c r="AE61" s="22">
        <f>IF(AE3&lt;=Assumptions!$B$65,0,MAX(0,AE55*Assumptions!$B$66-AE54)+Assumptions!$B$99)</f>
        <v>6.44</v>
      </c>
      <c r="AF61" s="22">
        <f>IF(AF3&lt;=Assumptions!$B$65,0,MAX(0,AF55*Assumptions!$B$66-AF54)+Assumptions!$B$99)</f>
        <v>6.44</v>
      </c>
      <c r="AG61" s="22">
        <f>IF(AG3&lt;=Assumptions!$B$65,0,MAX(0,AG55*Assumptions!$B$66-AG54)+Assumptions!$B$99)</f>
        <v>6.44</v>
      </c>
    </row>
    <row r="62" spans="1:33" ht="15" customHeight="1" x14ac:dyDescent="0.3">
      <c r="A62" s="9" t="s">
        <v>173</v>
      </c>
      <c r="D62" s="21">
        <f t="shared" ref="D62:AG62" si="7">D40+D61-D48</f>
        <v>0</v>
      </c>
      <c r="E62" s="21">
        <f t="shared" si="7"/>
        <v>0</v>
      </c>
      <c r="F62" s="21">
        <f t="shared" si="7"/>
        <v>-6.1828512507687492</v>
      </c>
      <c r="G62" s="21">
        <f t="shared" si="7"/>
        <v>-14.561019994194826</v>
      </c>
      <c r="H62" s="21">
        <f t="shared" si="7"/>
        <v>23.744846293620519</v>
      </c>
      <c r="I62" s="21">
        <f t="shared" si="7"/>
        <v>21.961015674064853</v>
      </c>
      <c r="J62" s="21">
        <f t="shared" si="7"/>
        <v>21.962159155231234</v>
      </c>
      <c r="K62" s="21">
        <f t="shared" si="7"/>
        <v>21.963331223426778</v>
      </c>
      <c r="L62" s="21">
        <f t="shared" si="7"/>
        <v>21.964532593327206</v>
      </c>
      <c r="M62" s="21">
        <f t="shared" si="7"/>
        <v>21.965763997475143</v>
      </c>
      <c r="N62" s="21">
        <f t="shared" si="7"/>
        <v>21.967026186726791</v>
      </c>
      <c r="O62" s="21">
        <f t="shared" si="7"/>
        <v>21.968319930709718</v>
      </c>
      <c r="P62" s="21">
        <f t="shared" si="7"/>
        <v>21.969646018292224</v>
      </c>
      <c r="Q62" s="21">
        <f t="shared" si="7"/>
        <v>21.971005258064295</v>
      </c>
      <c r="R62" s="21">
        <f t="shared" si="7"/>
        <v>21.972398478830655</v>
      </c>
      <c r="S62" s="21">
        <f t="shared" si="7"/>
        <v>21.973826530116177</v>
      </c>
      <c r="T62" s="21">
        <f t="shared" si="7"/>
        <v>21.975290282683851</v>
      </c>
      <c r="U62" s="21">
        <f t="shared" si="7"/>
        <v>21.976790629065704</v>
      </c>
      <c r="V62" s="21">
        <f t="shared" si="7"/>
        <v>21.978328484107109</v>
      </c>
      <c r="W62" s="21">
        <f t="shared" si="7"/>
        <v>21.979904785524546</v>
      </c>
      <c r="X62" s="21">
        <f t="shared" si="7"/>
        <v>21.981520494477422</v>
      </c>
      <c r="Y62" s="21">
        <f t="shared" si="7"/>
        <v>21.983176596154117</v>
      </c>
      <c r="Z62" s="21">
        <f t="shared" si="7"/>
        <v>21.984874100372721</v>
      </c>
      <c r="AA62" s="21">
        <f t="shared" si="7"/>
        <v>21.986614042196813</v>
      </c>
      <c r="AB62" s="21">
        <f t="shared" si="7"/>
        <v>22.125823764321581</v>
      </c>
      <c r="AC62" s="21">
        <f t="shared" si="7"/>
        <v>22.351735172104576</v>
      </c>
      <c r="AD62" s="21">
        <f t="shared" si="7"/>
        <v>10.212910697844791</v>
      </c>
      <c r="AE62" s="21">
        <f t="shared" si="7"/>
        <v>10.307233465290921</v>
      </c>
      <c r="AF62" s="21">
        <f t="shared" si="7"/>
        <v>10.403914301923194</v>
      </c>
      <c r="AG62" s="21">
        <f t="shared" si="7"/>
        <v>10.503012159471254</v>
      </c>
    </row>
    <row r="63" spans="1:33" ht="15" customHeight="1" x14ac:dyDescent="0.3">
      <c r="A63" s="9" t="s">
        <v>174</v>
      </c>
      <c r="D63" s="21">
        <f>MAX(0,(D62-IF(D3&gt;Assumptions!$B$65,D21,0)-D97)*Assumptions!$B$70)</f>
        <v>0</v>
      </c>
      <c r="E63" s="21">
        <f>MAX(0,(E62-IF(E3&gt;Assumptions!$B$65,E21,0)-E97)*Assumptions!$B$70)</f>
        <v>0</v>
      </c>
      <c r="F63" s="21">
        <f>MAX(0,(F62-IF(F3&gt;Assumptions!$B$65,F21,0)-F97)*Assumptions!$B$70)</f>
        <v>0</v>
      </c>
      <c r="G63" s="21">
        <f>MAX(0,(G62-IF(G3&gt;Assumptions!$B$65,G21,0)-G97)*Assumptions!$B$70)</f>
        <v>0</v>
      </c>
      <c r="H63" s="21">
        <f>MAX(0,(H62-IF(H3&gt;Assumptions!$B$65,H21,0)-H97)*Assumptions!$B$70)</f>
        <v>0.53251390417062394</v>
      </c>
      <c r="I63" s="21">
        <f>MAX(0,(I62-IF(I3&gt;Assumptions!$B$65,I21,0)-I97)*Assumptions!$B$70)</f>
        <v>0.75946444094178656</v>
      </c>
      <c r="J63" s="21">
        <f>MAX(0,(J62-IF(J3&gt;Assumptions!$B$65,J21,0)-J97)*Assumptions!$B$70)</f>
        <v>1.2439644818512927</v>
      </c>
      <c r="K63" s="21">
        <f>MAX(0,(K62-IF(K3&gt;Assumptions!$B$65,K21,0)-K97)*Assumptions!$B$70)</f>
        <v>1.6151035257786441</v>
      </c>
      <c r="L63" s="21">
        <f>MAX(0,(L62-IF(L3&gt;Assumptions!$B$65,L21,0)-L97)*Assumptions!$B$70)</f>
        <v>1.9140734367133208</v>
      </c>
      <c r="M63" s="21">
        <f>MAX(0,(M62-IF(M3&gt;Assumptions!$B$65,M21,0)-M97)*Assumptions!$B$70)</f>
        <v>2.1648956987768706</v>
      </c>
      <c r="N63" s="21">
        <f>MAX(0,(N62-IF(N3&gt;Assumptions!$B$65,N21,0)-N97)*Assumptions!$B$70)</f>
        <v>2.382541879270657</v>
      </c>
      <c r="O63" s="21">
        <f>MAX(0,(O62-IF(O3&gt;Assumptions!$B$65,O21,0)-O97)*Assumptions!$B$70)</f>
        <v>2.5769404863200345</v>
      </c>
      <c r="P63" s="21">
        <f>MAX(0,(P62-IF(P3&gt;Assumptions!$B$65,P21,0)-P97)*Assumptions!$B$70)</f>
        <v>2.7550365516774433</v>
      </c>
      <c r="Q63" s="21">
        <f>MAX(0,(Q62-IF(Q3&gt;Assumptions!$B$65,Q21,0)-Q97)*Assumptions!$B$70)</f>
        <v>2.9219058105615607</v>
      </c>
      <c r="R63" s="21">
        <f>MAX(0,(R62-IF(R3&gt;Assumptions!$B$65,R21,0)-R97)*Assumptions!$B$70)</f>
        <v>3.0813936053115527</v>
      </c>
      <c r="S63" s="21">
        <f>MAX(0,(S62-IF(S3&gt;Assumptions!$B$65,S21,0)-S97)*Assumptions!$B$70)</f>
        <v>3.2365038641809543</v>
      </c>
      <c r="T63" s="21">
        <f>MAX(0,(T62-IF(T3&gt;Assumptions!$B$65,T21,0)-T97)*Assumptions!$B$70)</f>
        <v>3.3896494560839057</v>
      </c>
      <c r="U63" s="21">
        <f>MAX(0,(U62-IF(U3&gt;Assumptions!$B$65,U21,0)-U97)*Assumptions!$B$70)</f>
        <v>3.5428211215502285</v>
      </c>
      <c r="V63" s="21">
        <f>MAX(0,(V62-IF(V3&gt;Assumptions!$B$65,V21,0)-V97)*Assumptions!$B$70)</f>
        <v>3.6977058530517652</v>
      </c>
      <c r="W63" s="21">
        <f>MAX(0,(W62-IF(W3&gt;Assumptions!$B$65,W21,0)-W97)*Assumptions!$B$70)</f>
        <v>3.8557723335135616</v>
      </c>
      <c r="X63" s="21">
        <f>MAX(0,(X62-IF(X3&gt;Assumptions!$B$65,X21,0)-X97)*Assumptions!$B$70)</f>
        <v>4.0183340569944637</v>
      </c>
      <c r="Y63" s="21">
        <f>MAX(0,(Y62-IF(Y3&gt;Assumptions!$B$65,Y21,0)-Y97)*Assumptions!$B$70)</f>
        <v>4.1865968821812762</v>
      </c>
      <c r="Z63" s="21">
        <f>MAX(0,(Z62-IF(Z3&gt;Assumptions!$B$65,Z21,0)-Z97)*Assumptions!$B$70)</f>
        <v>4.3616955000124129</v>
      </c>
      <c r="AA63" s="21">
        <f>MAX(0,(AA62-IF(AA3&gt;Assumptions!$B$65,AA21,0)-AA97)*Assumptions!$B$70)</f>
        <v>4.5447218949960222</v>
      </c>
      <c r="AB63" s="21">
        <f>MAX(0,(AB62-IF(AB3&gt;Assumptions!$B$65,AB21,0)-AB97)*Assumptions!$B$70)</f>
        <v>4.7711045433959125</v>
      </c>
      <c r="AC63" s="21">
        <f>MAX(0,(AC62-IF(AC3&gt;Assumptions!$B$65,AC21,0)-AC97)*Assumptions!$B$70)</f>
        <v>5.0292213347597503</v>
      </c>
      <c r="AD63" s="21">
        <f>MAX(0,(AD62-IF(AD3&gt;Assumptions!$B$65,AD21,0)-AD97)*Assumptions!$B$70)</f>
        <v>2.2072962939362939</v>
      </c>
      <c r="AE63" s="21">
        <f>MAX(0,(AE62-IF(AE3&gt;Assumptions!$B$65,AE21,0)-AE97)*Assumptions!$B$70)</f>
        <v>2.2501871517050303</v>
      </c>
      <c r="AF63" s="21">
        <f>MAX(0,(AF62-IF(AF3&gt;Assumptions!$B$65,AF21,0)-AF97)*Assumptions!$B$70)</f>
        <v>2.2922991964070372</v>
      </c>
      <c r="AG63" s="21">
        <f>MAX(0,(AG62-IF(AG3&gt;Assumptions!$B$65,AG21,0)-AG97)*Assumptions!$B$70)</f>
        <v>2.3337825568151565</v>
      </c>
    </row>
    <row r="64" spans="1:33" ht="15" customHeight="1" x14ac:dyDescent="0.3">
      <c r="A64" s="13" t="s">
        <v>175</v>
      </c>
      <c r="D64" s="22">
        <f t="shared" ref="D64:AG64" si="8">D62-D63+D113</f>
        <v>0</v>
      </c>
      <c r="E64" s="22">
        <f t="shared" si="8"/>
        <v>0</v>
      </c>
      <c r="F64" s="22">
        <f t="shared" si="8"/>
        <v>-6.1828512507687492</v>
      </c>
      <c r="G64" s="22">
        <f t="shared" si="8"/>
        <v>-14.561019994194826</v>
      </c>
      <c r="H64" s="22">
        <f t="shared" si="8"/>
        <v>21.382762523238956</v>
      </c>
      <c r="I64" s="22">
        <f t="shared" si="8"/>
        <v>21.155811986467793</v>
      </c>
      <c r="J64" s="22">
        <f t="shared" si="8"/>
        <v>20.671311945558287</v>
      </c>
      <c r="K64" s="22">
        <f t="shared" si="8"/>
        <v>20.300172901630937</v>
      </c>
      <c r="L64" s="22">
        <f t="shared" si="8"/>
        <v>20.00120299069626</v>
      </c>
      <c r="M64" s="22">
        <f t="shared" si="8"/>
        <v>19.750380728632706</v>
      </c>
      <c r="N64" s="22">
        <f t="shared" si="8"/>
        <v>19.532734548138926</v>
      </c>
      <c r="O64" s="22">
        <f t="shared" si="8"/>
        <v>19.33833594108955</v>
      </c>
      <c r="P64" s="22">
        <f t="shared" si="8"/>
        <v>19.160239875732142</v>
      </c>
      <c r="Q64" s="22">
        <f t="shared" si="8"/>
        <v>18.993370616848029</v>
      </c>
      <c r="R64" s="22">
        <f t="shared" si="8"/>
        <v>18.833882822098026</v>
      </c>
      <c r="S64" s="22">
        <f t="shared" si="8"/>
        <v>18.678772563228623</v>
      </c>
      <c r="T64" s="22">
        <f t="shared" si="8"/>
        <v>18.525626971325678</v>
      </c>
      <c r="U64" s="22">
        <f t="shared" si="8"/>
        <v>18.372455305859354</v>
      </c>
      <c r="V64" s="22">
        <f t="shared" si="8"/>
        <v>18.217570574357818</v>
      </c>
      <c r="W64" s="22">
        <f t="shared" si="8"/>
        <v>18.059504093896017</v>
      </c>
      <c r="X64" s="22">
        <f t="shared" si="8"/>
        <v>17.896942370415125</v>
      </c>
      <c r="Y64" s="22">
        <f t="shared" si="8"/>
        <v>17.728679545228307</v>
      </c>
      <c r="Z64" s="22">
        <f t="shared" si="8"/>
        <v>17.553580927397164</v>
      </c>
      <c r="AA64" s="22">
        <f t="shared" si="8"/>
        <v>17.370554532413564</v>
      </c>
      <c r="AB64" s="22">
        <f t="shared" si="8"/>
        <v>17.281598165768763</v>
      </c>
      <c r="AC64" s="22">
        <f t="shared" si="8"/>
        <v>17.247564755808998</v>
      </c>
      <c r="AD64" s="22">
        <f t="shared" si="8"/>
        <v>7.9287915953342729</v>
      </c>
      <c r="AE64" s="22">
        <f t="shared" si="8"/>
        <v>7.97830293479731</v>
      </c>
      <c r="AF64" s="22">
        <f t="shared" si="8"/>
        <v>8.0309031422578627</v>
      </c>
      <c r="AG64" s="22">
        <f t="shared" si="8"/>
        <v>11.478420096246165</v>
      </c>
    </row>
    <row r="65" spans="1:33" ht="15" customHeight="1" x14ac:dyDescent="0.3">
      <c r="A65" s="9" t="s">
        <v>176</v>
      </c>
      <c r="D65" s="21">
        <f t="shared" ref="D65:AG65" si="9">D23</f>
        <v>0</v>
      </c>
      <c r="E65" s="21">
        <f t="shared" si="9"/>
        <v>0</v>
      </c>
      <c r="F65" s="21">
        <f t="shared" si="9"/>
        <v>0</v>
      </c>
      <c r="G65" s="21">
        <f t="shared" si="9"/>
        <v>0</v>
      </c>
      <c r="H65" s="21">
        <f t="shared" si="9"/>
        <v>11.463167724007096</v>
      </c>
      <c r="I65" s="21">
        <f t="shared" si="9"/>
        <v>11.463167724007096</v>
      </c>
      <c r="J65" s="21">
        <f t="shared" si="9"/>
        <v>11.463167724007096</v>
      </c>
      <c r="K65" s="21">
        <f t="shared" si="9"/>
        <v>11.463167724007096</v>
      </c>
      <c r="L65" s="21">
        <f t="shared" si="9"/>
        <v>11.463167724007096</v>
      </c>
      <c r="M65" s="21">
        <f t="shared" si="9"/>
        <v>11.463167724007096</v>
      </c>
      <c r="N65" s="21">
        <f t="shared" si="9"/>
        <v>11.463167724007096</v>
      </c>
      <c r="O65" s="21">
        <f t="shared" si="9"/>
        <v>11.463167724007096</v>
      </c>
      <c r="P65" s="21">
        <f t="shared" si="9"/>
        <v>11.463167724007096</v>
      </c>
      <c r="Q65" s="21">
        <f t="shared" si="9"/>
        <v>11.463167724007096</v>
      </c>
      <c r="R65" s="21">
        <f t="shared" si="9"/>
        <v>11.463167724007096</v>
      </c>
      <c r="S65" s="21">
        <f t="shared" si="9"/>
        <v>11.463167724007096</v>
      </c>
      <c r="T65" s="21">
        <f t="shared" si="9"/>
        <v>11.463167724007096</v>
      </c>
      <c r="U65" s="21">
        <f t="shared" si="9"/>
        <v>11.463167724007096</v>
      </c>
      <c r="V65" s="21">
        <f t="shared" si="9"/>
        <v>11.463167724007096</v>
      </c>
      <c r="W65" s="21">
        <f t="shared" si="9"/>
        <v>11.463167724007096</v>
      </c>
      <c r="X65" s="21">
        <f t="shared" si="9"/>
        <v>11.463167724007096</v>
      </c>
      <c r="Y65" s="21">
        <f t="shared" si="9"/>
        <v>11.463167724007096</v>
      </c>
      <c r="Z65" s="21">
        <f t="shared" si="9"/>
        <v>11.463167724007096</v>
      </c>
      <c r="AA65" s="21">
        <f t="shared" si="9"/>
        <v>11.463167724007096</v>
      </c>
      <c r="AB65" s="21">
        <f t="shared" si="9"/>
        <v>11.463167724007096</v>
      </c>
      <c r="AC65" s="21">
        <f t="shared" si="9"/>
        <v>11.463167724007096</v>
      </c>
      <c r="AD65" s="21">
        <f t="shared" si="9"/>
        <v>0</v>
      </c>
      <c r="AE65" s="21">
        <f t="shared" si="9"/>
        <v>0</v>
      </c>
      <c r="AF65" s="21">
        <f t="shared" si="9"/>
        <v>0</v>
      </c>
      <c r="AG65" s="21">
        <f t="shared" si="9"/>
        <v>0</v>
      </c>
    </row>
    <row r="66" spans="1:33" ht="15" customHeight="1" x14ac:dyDescent="0.3">
      <c r="A66" s="9" t="s">
        <v>177</v>
      </c>
      <c r="D66" s="15" t="str">
        <f t="shared" ref="D66:AG66" si="10">IF(D65=0,"-",D64/D65)</f>
        <v>-</v>
      </c>
      <c r="E66" s="15" t="str">
        <f t="shared" si="10"/>
        <v>-</v>
      </c>
      <c r="F66" s="15" t="str">
        <f t="shared" si="10"/>
        <v>-</v>
      </c>
      <c r="G66" s="15" t="str">
        <f t="shared" si="10"/>
        <v>-</v>
      </c>
      <c r="H66" s="15">
        <f t="shared" si="10"/>
        <v>1.8653449934661113</v>
      </c>
      <c r="I66" s="15">
        <f t="shared" si="10"/>
        <v>1.8455467542502735</v>
      </c>
      <c r="J66" s="15">
        <f t="shared" si="10"/>
        <v>1.8032809467026072</v>
      </c>
      <c r="K66" s="15">
        <f t="shared" si="10"/>
        <v>1.7709042901916778</v>
      </c>
      <c r="L66" s="15">
        <f t="shared" si="10"/>
        <v>1.7448233745030284</v>
      </c>
      <c r="M66" s="15">
        <f t="shared" si="10"/>
        <v>1.7229426633329159</v>
      </c>
      <c r="N66" s="15">
        <f t="shared" si="10"/>
        <v>1.703956098211133</v>
      </c>
      <c r="O66" s="15">
        <f t="shared" si="10"/>
        <v>1.6869975565819941</v>
      </c>
      <c r="P66" s="15">
        <f t="shared" si="10"/>
        <v>1.6714611822005545</v>
      </c>
      <c r="Q66" s="15">
        <f t="shared" si="10"/>
        <v>1.6569041886275964</v>
      </c>
      <c r="R66" s="15">
        <f t="shared" si="10"/>
        <v>1.6429911238805814</v>
      </c>
      <c r="S66" s="15">
        <f t="shared" si="10"/>
        <v>1.6294599375101195</v>
      </c>
      <c r="T66" s="15">
        <f t="shared" si="10"/>
        <v>1.6161001406729665</v>
      </c>
      <c r="U66" s="15">
        <f t="shared" si="10"/>
        <v>1.6027380692844846</v>
      </c>
      <c r="V66" s="15">
        <f t="shared" si="10"/>
        <v>1.5892265570017878</v>
      </c>
      <c r="W66" s="15">
        <f t="shared" si="10"/>
        <v>1.5754374819164809</v>
      </c>
      <c r="X66" s="15">
        <f t="shared" si="10"/>
        <v>1.5612562601639244</v>
      </c>
      <c r="Y66" s="15">
        <f t="shared" si="10"/>
        <v>1.5465776975503436</v>
      </c>
      <c r="Z66" s="15">
        <f t="shared" si="10"/>
        <v>1.5313028082660807</v>
      </c>
      <c r="AA66" s="15">
        <f t="shared" si="10"/>
        <v>1.515336332036278</v>
      </c>
      <c r="AB66" s="15">
        <f t="shared" si="10"/>
        <v>1.5075761414164985</v>
      </c>
      <c r="AC66" s="15">
        <f t="shared" si="10"/>
        <v>1.5046072055360185</v>
      </c>
      <c r="AD66" s="15" t="str">
        <f t="shared" si="10"/>
        <v>-</v>
      </c>
      <c r="AE66" s="15" t="str">
        <f t="shared" si="10"/>
        <v>-</v>
      </c>
      <c r="AF66" s="15" t="str">
        <f t="shared" si="10"/>
        <v>-</v>
      </c>
      <c r="AG66" s="15" t="str">
        <f t="shared" si="10"/>
        <v>-</v>
      </c>
    </row>
    <row r="67" spans="1:33" ht="15" customHeight="1" x14ac:dyDescent="0.3">
      <c r="A67" s="13" t="s">
        <v>178</v>
      </c>
      <c r="D67" s="22">
        <f>IF(D3&lt;=Assumptions!$B$65,-D15,D64-D65)+D115+D117</f>
        <v>-7.1669999999999998</v>
      </c>
      <c r="E67" s="22">
        <f>IF(E3&lt;=Assumptions!$B$65,-E15,E64-E65)+E115+E117</f>
        <v>-15.231</v>
      </c>
      <c r="F67" s="22">
        <f>IF(F3&lt;=Assumptions!$B$65,-F15,F64-F65)+F115+F117</f>
        <v>-17.672999999999998</v>
      </c>
      <c r="G67" s="22">
        <f>IF(G3&lt;=Assumptions!$B$65,-G15,G64-G65)+G115+G117</f>
        <v>-12.160583862003547</v>
      </c>
      <c r="H67" s="22">
        <f>IF(H3&lt;=Assumptions!$B$65,-H15,H64-H65)+H115+H117</f>
        <v>9.9195947992318594</v>
      </c>
      <c r="I67" s="22">
        <f>IF(I3&lt;=Assumptions!$B$65,-I15,I64-I65)+I115+I117</f>
        <v>9.6926442624606963</v>
      </c>
      <c r="J67" s="22">
        <f>IF(J3&lt;=Assumptions!$B$65,-J15,J64-J65)+J115+J117</f>
        <v>9.2081442215511906</v>
      </c>
      <c r="K67" s="22">
        <f>IF(K3&lt;=Assumptions!$B$65,-K15,K64-K65)+K115+K117</f>
        <v>8.8370051776238405</v>
      </c>
      <c r="L67" s="22">
        <f>IF(L3&lt;=Assumptions!$B$65,-L15,L64-L65)+L115+L117</f>
        <v>8.5380352666891639</v>
      </c>
      <c r="M67" s="22">
        <f>IF(M3&lt;=Assumptions!$B$65,-M15,M64-M65)+M115+M117</f>
        <v>8.2872130046256096</v>
      </c>
      <c r="N67" s="22">
        <f>IF(N3&lt;=Assumptions!$B$65,-N15,N64-N65)+N115+N117</f>
        <v>8.0695668241318295</v>
      </c>
      <c r="O67" s="22">
        <f>IF(O3&lt;=Assumptions!$B$65,-O15,O64-O65)+O115+O117</f>
        <v>7.8751682170824537</v>
      </c>
      <c r="P67" s="22">
        <f>IF(P3&lt;=Assumptions!$B$65,-P15,P64-P65)+P115+P117</f>
        <v>7.6970721517250453</v>
      </c>
      <c r="Q67" s="22">
        <f>IF(Q3&lt;=Assumptions!$B$65,-Q15,Q64-Q65)+Q115+Q117</f>
        <v>7.5302028928409328</v>
      </c>
      <c r="R67" s="22">
        <f>IF(R3&lt;=Assumptions!$B$65,-R15,R64-R65)+R115+R117</f>
        <v>7.3707150980909297</v>
      </c>
      <c r="S67" s="22">
        <f>IF(S3&lt;=Assumptions!$B$65,-S15,S64-S65)+S115+S117</f>
        <v>7.2156048392215268</v>
      </c>
      <c r="T67" s="22">
        <f>IF(T3&lt;=Assumptions!$B$65,-T15,T64-T65)+T115+T117</f>
        <v>7.0624592473185821</v>
      </c>
      <c r="U67" s="22">
        <f>IF(U3&lt;=Assumptions!$B$65,-U15,U64-U65)+U115+U117</f>
        <v>6.9092875818522579</v>
      </c>
      <c r="V67" s="22">
        <f>IF(V3&lt;=Assumptions!$B$65,-V15,V64-V65)+V115+V117</f>
        <v>6.7544028503507221</v>
      </c>
      <c r="W67" s="22">
        <f>IF(W3&lt;=Assumptions!$B$65,-W15,W64-W65)+W115+W117</f>
        <v>6.5963363698889204</v>
      </c>
      <c r="X67" s="22">
        <f>IF(X3&lt;=Assumptions!$B$65,-X15,X64-X65)+X115+X117</f>
        <v>6.433774646408029</v>
      </c>
      <c r="Y67" s="22">
        <f>IF(Y3&lt;=Assumptions!$B$65,-Y15,Y64-Y65)+Y115+Y117</f>
        <v>6.2655118212212102</v>
      </c>
      <c r="Z67" s="22">
        <f>IF(Z3&lt;=Assumptions!$B$65,-Z15,Z64-Z65)+Z115+Z117</f>
        <v>6.0904132033900673</v>
      </c>
      <c r="AA67" s="22">
        <f>IF(AA3&lt;=Assumptions!$B$65,-AA15,AA64-AA65)+AA115+AA117</f>
        <v>5.9073868084064678</v>
      </c>
      <c r="AB67" s="22">
        <f>IF(AB3&lt;=Assumptions!$B$65,-AB15,AB64-AB65)+AB115+AB117</f>
        <v>5.8184304417616666</v>
      </c>
      <c r="AC67" s="22">
        <f>IF(AC3&lt;=Assumptions!$B$65,-AC15,AC64-AC65)+AC115+AC117</f>
        <v>11.51598089380545</v>
      </c>
      <c r="AD67" s="22">
        <f>IF(AD3&lt;=Assumptions!$B$65,-AD15,AD64-AD65)+AD115+AD117</f>
        <v>7.9287915953342729</v>
      </c>
      <c r="AE67" s="22">
        <f>IF(AE3&lt;=Assumptions!$B$65,-AE15,AE64-AE65)+AE115+AE117</f>
        <v>7.97830293479731</v>
      </c>
      <c r="AF67" s="22">
        <f>IF(AF3&lt;=Assumptions!$B$65,-AF15,AF64-AF65)+AF115+AF117</f>
        <v>8.0309031422578627</v>
      </c>
      <c r="AG67" s="22">
        <f>IF(AG3&lt;=Assumptions!$B$65,-AG15,AG64-AG65)+AG115+AG117</f>
        <v>74.496493053073692</v>
      </c>
    </row>
    <row r="69" spans="1:33" ht="15" customHeight="1" x14ac:dyDescent="0.3">
      <c r="A69" s="51" t="s">
        <v>362</v>
      </c>
      <c r="B69" s="57"/>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row>
    <row r="71" spans="1:33" ht="15" customHeight="1" x14ac:dyDescent="0.3">
      <c r="A71" s="9" t="s">
        <v>180</v>
      </c>
      <c r="D71" s="21">
        <f>IF(D3&lt;=4,Assumptions!$B$84/4,0)</f>
        <v>2.9</v>
      </c>
      <c r="E71" s="21">
        <f>IF(E3&lt;=4,Assumptions!$B$84/4,0)</f>
        <v>2.9</v>
      </c>
      <c r="F71" s="21">
        <f>IF(F3&lt;=4,Assumptions!$B$84/4,0)</f>
        <v>2.9</v>
      </c>
      <c r="G71" s="21">
        <f>IF(G3&lt;=4,Assumptions!$B$84/4,0)</f>
        <v>2.9</v>
      </c>
      <c r="H71" s="21">
        <f>IF(H3&lt;=4,Assumptions!$B$84/4,0)</f>
        <v>0</v>
      </c>
      <c r="I71" s="21">
        <f>IF(I3&lt;=4,Assumptions!$B$84/4,0)</f>
        <v>0</v>
      </c>
      <c r="J71" s="21">
        <f>IF(J3&lt;=4,Assumptions!$B$84/4,0)</f>
        <v>0</v>
      </c>
      <c r="K71" s="21">
        <f>IF(K3&lt;=4,Assumptions!$B$84/4,0)</f>
        <v>0</v>
      </c>
      <c r="L71" s="21">
        <f>IF(L3&lt;=4,Assumptions!$B$84/4,0)</f>
        <v>0</v>
      </c>
      <c r="M71" s="21">
        <f>IF(M3&lt;=4,Assumptions!$B$84/4,0)</f>
        <v>0</v>
      </c>
      <c r="N71" s="21">
        <f>IF(N3&lt;=4,Assumptions!$B$84/4,0)</f>
        <v>0</v>
      </c>
      <c r="O71" s="21">
        <f>IF(O3&lt;=4,Assumptions!$B$84/4,0)</f>
        <v>0</v>
      </c>
      <c r="P71" s="21">
        <f>IF(P3&lt;=4,Assumptions!$B$84/4,0)</f>
        <v>0</v>
      </c>
      <c r="Q71" s="21">
        <f>IF(Q3&lt;=4,Assumptions!$B$84/4,0)</f>
        <v>0</v>
      </c>
      <c r="R71" s="21">
        <f>IF(R3&lt;=4,Assumptions!$B$84/4,0)</f>
        <v>0</v>
      </c>
      <c r="S71" s="21">
        <f>IF(S3&lt;=4,Assumptions!$B$84/4,0)</f>
        <v>0</v>
      </c>
      <c r="T71" s="21">
        <f>IF(T3&lt;=4,Assumptions!$B$84/4,0)</f>
        <v>0</v>
      </c>
      <c r="U71" s="21">
        <f>IF(U3&lt;=4,Assumptions!$B$84/4,0)</f>
        <v>0</v>
      </c>
      <c r="V71" s="21">
        <f>IF(V3&lt;=4,Assumptions!$B$84/4,0)</f>
        <v>0</v>
      </c>
      <c r="W71" s="21">
        <f>IF(W3&lt;=4,Assumptions!$B$84/4,0)</f>
        <v>0</v>
      </c>
      <c r="X71" s="21">
        <f>IF(X3&lt;=4,Assumptions!$B$84/4,0)</f>
        <v>0</v>
      </c>
      <c r="Y71" s="21">
        <f>IF(Y3&lt;=4,Assumptions!$B$84/4,0)</f>
        <v>0</v>
      </c>
      <c r="Z71" s="21">
        <f>IF(Z3&lt;=4,Assumptions!$B$84/4,0)</f>
        <v>0</v>
      </c>
      <c r="AA71" s="21">
        <f>IF(AA3&lt;=4,Assumptions!$B$84/4,0)</f>
        <v>0</v>
      </c>
      <c r="AB71" s="21">
        <f>IF(AB3&lt;=4,Assumptions!$B$84/4,0)</f>
        <v>0</v>
      </c>
      <c r="AC71" s="21">
        <f>IF(AC3&lt;=4,Assumptions!$B$84/4,0)</f>
        <v>0</v>
      </c>
      <c r="AD71" s="21">
        <f>IF(AD3&lt;=4,Assumptions!$B$84/4,0)</f>
        <v>0</v>
      </c>
      <c r="AE71" s="21">
        <f>IF(AE3&lt;=4,Assumptions!$B$84/4,0)</f>
        <v>0</v>
      </c>
      <c r="AF71" s="21">
        <f>IF(AF3&lt;=4,Assumptions!$B$84/4,0)</f>
        <v>0</v>
      </c>
      <c r="AG71" s="21">
        <f>IF(AG3&lt;=4,Assumptions!$B$84/4,0)</f>
        <v>0</v>
      </c>
    </row>
    <row r="72" spans="1:33" ht="15" customHeight="1" x14ac:dyDescent="0.3">
      <c r="A72" s="9" t="s">
        <v>181</v>
      </c>
      <c r="D72" s="21">
        <f>IF(D3&lt;=4,Assumptions!$B$85/4,0)</f>
        <v>2.25</v>
      </c>
      <c r="E72" s="21">
        <f>IF(E3&lt;=4,Assumptions!$B$85/4,0)</f>
        <v>2.25</v>
      </c>
      <c r="F72" s="21">
        <f>IF(F3&lt;=4,Assumptions!$B$85/4,0)</f>
        <v>2.25</v>
      </c>
      <c r="G72" s="21">
        <f>IF(G3&lt;=4,Assumptions!$B$85/4,0)</f>
        <v>2.25</v>
      </c>
      <c r="H72" s="21">
        <f>IF(H3&lt;=4,Assumptions!$B$85/4,0)</f>
        <v>0</v>
      </c>
      <c r="I72" s="21">
        <f>IF(I3&lt;=4,Assumptions!$B$85/4,0)</f>
        <v>0</v>
      </c>
      <c r="J72" s="21">
        <f>IF(J3&lt;=4,Assumptions!$B$85/4,0)</f>
        <v>0</v>
      </c>
      <c r="K72" s="21">
        <f>IF(K3&lt;=4,Assumptions!$B$85/4,0)</f>
        <v>0</v>
      </c>
      <c r="L72" s="21">
        <f>IF(L3&lt;=4,Assumptions!$B$85/4,0)</f>
        <v>0</v>
      </c>
      <c r="M72" s="21">
        <f>IF(M3&lt;=4,Assumptions!$B$85/4,0)</f>
        <v>0</v>
      </c>
      <c r="N72" s="21">
        <f>IF(N3&lt;=4,Assumptions!$B$85/4,0)</f>
        <v>0</v>
      </c>
      <c r="O72" s="21">
        <f>IF(O3&lt;=4,Assumptions!$B$85/4,0)</f>
        <v>0</v>
      </c>
      <c r="P72" s="21">
        <f>IF(P3&lt;=4,Assumptions!$B$85/4,0)</f>
        <v>0</v>
      </c>
      <c r="Q72" s="21">
        <f>IF(Q3&lt;=4,Assumptions!$B$85/4,0)</f>
        <v>0</v>
      </c>
      <c r="R72" s="21">
        <f>IF(R3&lt;=4,Assumptions!$B$85/4,0)</f>
        <v>0</v>
      </c>
      <c r="S72" s="21">
        <f>IF(S3&lt;=4,Assumptions!$B$85/4,0)</f>
        <v>0</v>
      </c>
      <c r="T72" s="21">
        <f>IF(T3&lt;=4,Assumptions!$B$85/4,0)</f>
        <v>0</v>
      </c>
      <c r="U72" s="21">
        <f>IF(U3&lt;=4,Assumptions!$B$85/4,0)</f>
        <v>0</v>
      </c>
      <c r="V72" s="21">
        <f>IF(V3&lt;=4,Assumptions!$B$85/4,0)</f>
        <v>0</v>
      </c>
      <c r="W72" s="21">
        <f>IF(W3&lt;=4,Assumptions!$B$85/4,0)</f>
        <v>0</v>
      </c>
      <c r="X72" s="21">
        <f>IF(X3&lt;=4,Assumptions!$B$85/4,0)</f>
        <v>0</v>
      </c>
      <c r="Y72" s="21">
        <f>IF(Y3&lt;=4,Assumptions!$B$85/4,0)</f>
        <v>0</v>
      </c>
      <c r="Z72" s="21">
        <f>IF(Z3&lt;=4,Assumptions!$B$85/4,0)</f>
        <v>0</v>
      </c>
      <c r="AA72" s="21">
        <f>IF(AA3&lt;=4,Assumptions!$B$85/4,0)</f>
        <v>0</v>
      </c>
      <c r="AB72" s="21">
        <f>IF(AB3&lt;=4,Assumptions!$B$85/4,0)</f>
        <v>0</v>
      </c>
      <c r="AC72" s="21">
        <f>IF(AC3&lt;=4,Assumptions!$B$85/4,0)</f>
        <v>0</v>
      </c>
      <c r="AD72" s="21">
        <f>IF(AD3&lt;=4,Assumptions!$B$85/4,0)</f>
        <v>0</v>
      </c>
      <c r="AE72" s="21">
        <f>IF(AE3&lt;=4,Assumptions!$B$85/4,0)</f>
        <v>0</v>
      </c>
      <c r="AF72" s="21">
        <f>IF(AF3&lt;=4,Assumptions!$B$85/4,0)</f>
        <v>0</v>
      </c>
      <c r="AG72" s="21">
        <f>IF(AG3&lt;=4,Assumptions!$B$85/4,0)</f>
        <v>0</v>
      </c>
    </row>
    <row r="73" spans="1:33" ht="15" customHeight="1" x14ac:dyDescent="0.3">
      <c r="A73" s="13" t="s">
        <v>182</v>
      </c>
      <c r="D73" s="22">
        <f t="shared" ref="D73:AG73" si="11">D13+D71+D72</f>
        <v>23.89</v>
      </c>
      <c r="E73" s="22">
        <f t="shared" si="11"/>
        <v>50.77</v>
      </c>
      <c r="F73" s="22">
        <f t="shared" si="11"/>
        <v>58.91</v>
      </c>
      <c r="G73" s="22">
        <f t="shared" si="11"/>
        <v>21.429999999999996</v>
      </c>
      <c r="H73" s="22">
        <f t="shared" si="11"/>
        <v>0</v>
      </c>
      <c r="I73" s="22">
        <f t="shared" si="11"/>
        <v>0</v>
      </c>
      <c r="J73" s="22">
        <f t="shared" si="11"/>
        <v>0</v>
      </c>
      <c r="K73" s="22">
        <f t="shared" si="11"/>
        <v>0</v>
      </c>
      <c r="L73" s="22">
        <f t="shared" si="11"/>
        <v>0</v>
      </c>
      <c r="M73" s="22">
        <f t="shared" si="11"/>
        <v>0</v>
      </c>
      <c r="N73" s="22">
        <f t="shared" si="11"/>
        <v>0</v>
      </c>
      <c r="O73" s="22">
        <f t="shared" si="11"/>
        <v>0</v>
      </c>
      <c r="P73" s="22">
        <f t="shared" si="11"/>
        <v>0</v>
      </c>
      <c r="Q73" s="22">
        <f t="shared" si="11"/>
        <v>0</v>
      </c>
      <c r="R73" s="22">
        <f t="shared" si="11"/>
        <v>0</v>
      </c>
      <c r="S73" s="22">
        <f t="shared" si="11"/>
        <v>0</v>
      </c>
      <c r="T73" s="22">
        <f t="shared" si="11"/>
        <v>0</v>
      </c>
      <c r="U73" s="22">
        <f t="shared" si="11"/>
        <v>0</v>
      </c>
      <c r="V73" s="22">
        <f t="shared" si="11"/>
        <v>0</v>
      </c>
      <c r="W73" s="22">
        <f t="shared" si="11"/>
        <v>0</v>
      </c>
      <c r="X73" s="22">
        <f t="shared" si="11"/>
        <v>0</v>
      </c>
      <c r="Y73" s="22">
        <f t="shared" si="11"/>
        <v>0</v>
      </c>
      <c r="Z73" s="22">
        <f t="shared" si="11"/>
        <v>0</v>
      </c>
      <c r="AA73" s="22">
        <f t="shared" si="11"/>
        <v>0</v>
      </c>
      <c r="AB73" s="22">
        <f t="shared" si="11"/>
        <v>0</v>
      </c>
      <c r="AC73" s="22">
        <f t="shared" si="11"/>
        <v>0</v>
      </c>
      <c r="AD73" s="22">
        <f t="shared" si="11"/>
        <v>0</v>
      </c>
      <c r="AE73" s="22">
        <f t="shared" si="11"/>
        <v>0</v>
      </c>
      <c r="AF73" s="22">
        <f t="shared" si="11"/>
        <v>0</v>
      </c>
      <c r="AG73" s="22">
        <f t="shared" si="11"/>
        <v>0</v>
      </c>
    </row>
    <row r="75" spans="1:33" ht="15" customHeight="1" x14ac:dyDescent="0.3">
      <c r="A75" s="51" t="s">
        <v>183</v>
      </c>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row>
    <row r="77" spans="1:33" ht="15" customHeight="1" x14ac:dyDescent="0.3">
      <c r="A77" s="9" t="s">
        <v>363</v>
      </c>
      <c r="D77" s="21">
        <f>D73*Assumptions!$C$90</f>
        <v>9.5560000000000009</v>
      </c>
      <c r="E77" s="21">
        <f>E73*Assumptions!$C$90</f>
        <v>20.308000000000003</v>
      </c>
      <c r="F77" s="21">
        <f>F73*Assumptions!$C$90</f>
        <v>23.564</v>
      </c>
      <c r="G77" s="21">
        <f>G73*Assumptions!$C$90</f>
        <v>8.5719999999999992</v>
      </c>
      <c r="H77" s="21">
        <f>H73*Assumptions!$C$90</f>
        <v>0</v>
      </c>
      <c r="I77" s="21">
        <f>I73*Assumptions!$C$90</f>
        <v>0</v>
      </c>
      <c r="J77" s="21">
        <f>J73*Assumptions!$C$90</f>
        <v>0</v>
      </c>
      <c r="K77" s="21">
        <f>K73*Assumptions!$C$90</f>
        <v>0</v>
      </c>
      <c r="L77" s="21">
        <f>L73*Assumptions!$C$90</f>
        <v>0</v>
      </c>
      <c r="M77" s="21">
        <f>M73*Assumptions!$C$90</f>
        <v>0</v>
      </c>
      <c r="N77" s="21">
        <f>N73*Assumptions!$C$90</f>
        <v>0</v>
      </c>
      <c r="O77" s="21">
        <f>O73*Assumptions!$C$90</f>
        <v>0</v>
      </c>
      <c r="P77" s="21">
        <f>P73*Assumptions!$C$90</f>
        <v>0</v>
      </c>
      <c r="Q77" s="21">
        <f>Q73*Assumptions!$C$90</f>
        <v>0</v>
      </c>
      <c r="R77" s="21">
        <f>R73*Assumptions!$C$90</f>
        <v>0</v>
      </c>
      <c r="S77" s="21">
        <f>S73*Assumptions!$C$90</f>
        <v>0</v>
      </c>
      <c r="T77" s="21">
        <f>T73*Assumptions!$C$90</f>
        <v>0</v>
      </c>
      <c r="U77" s="21">
        <f>U73*Assumptions!$C$90</f>
        <v>0</v>
      </c>
      <c r="V77" s="21">
        <f>V73*Assumptions!$C$90</f>
        <v>0</v>
      </c>
      <c r="W77" s="21">
        <f>W73*Assumptions!$C$90</f>
        <v>0</v>
      </c>
      <c r="X77" s="21">
        <f>X73*Assumptions!$C$90</f>
        <v>0</v>
      </c>
      <c r="Y77" s="21">
        <f>Y73*Assumptions!$C$90</f>
        <v>0</v>
      </c>
      <c r="Z77" s="21">
        <f>Z73*Assumptions!$C$90</f>
        <v>0</v>
      </c>
      <c r="AA77" s="21">
        <f>AA73*Assumptions!$C$90</f>
        <v>0</v>
      </c>
      <c r="AB77" s="21">
        <f>AB73*Assumptions!$C$90</f>
        <v>0</v>
      </c>
      <c r="AC77" s="21">
        <f>AC73*Assumptions!$C$90</f>
        <v>0</v>
      </c>
      <c r="AD77" s="21">
        <f>AD73*Assumptions!$C$90</f>
        <v>0</v>
      </c>
      <c r="AE77" s="21">
        <f>AE73*Assumptions!$C$90</f>
        <v>0</v>
      </c>
      <c r="AF77" s="21">
        <f>AF73*Assumptions!$C$90</f>
        <v>0</v>
      </c>
      <c r="AG77" s="21">
        <f>AG73*Assumptions!$C$90</f>
        <v>0</v>
      </c>
    </row>
    <row r="78" spans="1:33" ht="15" customHeight="1" x14ac:dyDescent="0.3">
      <c r="A78" s="9" t="s">
        <v>364</v>
      </c>
      <c r="D78" s="21">
        <f>(0+D77/2)*Assumptions!$B$90</f>
        <v>0.19112000000000001</v>
      </c>
      <c r="E78" s="21">
        <f>(D79+E77/2)*Assumptions!$B$90</f>
        <v>0.78075520000000009</v>
      </c>
      <c r="F78" s="21">
        <f>(E79+F77/2)*Assumptions!$B$90</f>
        <v>1.626964992</v>
      </c>
      <c r="G78" s="21">
        <f>(F79+G77/2)*Assumptions!$B$90</f>
        <v>2.2046063923200006</v>
      </c>
      <c r="H78" s="21">
        <f>(G79+H77/2)*Assumptions!$B$90</f>
        <v>2.2878621366272003</v>
      </c>
      <c r="I78" s="21">
        <f>(H79+I77/2)*Assumptions!$B$90</f>
        <v>2.1963476511621121</v>
      </c>
      <c r="J78" s="21">
        <f>(I79+J77/2)*Assumptions!$B$90</f>
        <v>2.1084937451156276</v>
      </c>
      <c r="K78" s="21">
        <f>(J79+K77/2)*Assumptions!$B$90</f>
        <v>2.0241539953110026</v>
      </c>
      <c r="L78" s="21">
        <f>(K79+L77/2)*Assumptions!$B$90</f>
        <v>1.9431878354985623</v>
      </c>
      <c r="M78" s="21">
        <f>(L79+M77/2)*Assumptions!$B$90</f>
        <v>1.8654603220786197</v>
      </c>
      <c r="N78" s="21">
        <f>(M79+N77/2)*Assumptions!$B$90</f>
        <v>1.790841909195475</v>
      </c>
      <c r="O78" s="21">
        <f>(N79+O77/2)*Assumptions!$B$90</f>
        <v>1.7192082328276559</v>
      </c>
      <c r="P78" s="21">
        <f>(O79+P77/2)*Assumptions!$B$90</f>
        <v>1.6504399035145496</v>
      </c>
      <c r="Q78" s="21">
        <f>(P79+Q77/2)*Assumptions!$B$90</f>
        <v>1.5844223073739676</v>
      </c>
      <c r="R78" s="21">
        <f>(Q79+R77/2)*Assumptions!$B$90</f>
        <v>1.5210454150790087</v>
      </c>
      <c r="S78" s="21">
        <f>(R79+S77/2)*Assumptions!$B$90</f>
        <v>1.4602035984758484</v>
      </c>
      <c r="T78" s="21">
        <f>(S79+T77/2)*Assumptions!$B$90</f>
        <v>1.4017954545368145</v>
      </c>
      <c r="U78" s="21">
        <f>(T79+U77/2)*Assumptions!$B$90</f>
        <v>1.3457236363553418</v>
      </c>
      <c r="V78" s="21">
        <f>(U79+V77/2)*Assumptions!$B$90</f>
        <v>1.291894690901128</v>
      </c>
      <c r="W78" s="21">
        <f>(V79+W77/2)*Assumptions!$B$90</f>
        <v>1.2402189032650828</v>
      </c>
      <c r="X78" s="21">
        <f>(W79+X77/2)*Assumptions!$B$90</f>
        <v>1.1906101471344794</v>
      </c>
      <c r="Y78" s="21">
        <f>(X79+Y77/2)*Assumptions!$B$90</f>
        <v>1.1429857412491005</v>
      </c>
      <c r="Z78" s="21">
        <f>(Y79+Z77/2)*Assumptions!$B$90</f>
        <v>1.0972663115991363</v>
      </c>
      <c r="AA78" s="21">
        <f>(Z79+AA77/2)*Assumptions!$B$90</f>
        <v>1.0533756591351711</v>
      </c>
      <c r="AB78" s="21">
        <f>(AA79+AB77/2)*Assumptions!$B$90</f>
        <v>1.0112406327697641</v>
      </c>
      <c r="AC78" s="21">
        <f>(AB79+AC77/2)*Assumptions!$B$90</f>
        <v>0.97079100745897362</v>
      </c>
      <c r="AD78" s="21">
        <f>(AC79+AD77/2)*Assumptions!$B$90</f>
        <v>0.93195936716061467</v>
      </c>
      <c r="AE78" s="21">
        <f>(AD79+AE77/2)*Assumptions!$B$90</f>
        <v>0.89468099247419008</v>
      </c>
      <c r="AF78" s="21">
        <f>(AE79+AF77/2)*Assumptions!$B$90</f>
        <v>0.85889375277522251</v>
      </c>
      <c r="AG78" s="21">
        <f>(AF79+AG77/2)*Assumptions!$B$90</f>
        <v>0.82453800266421351</v>
      </c>
    </row>
    <row r="79" spans="1:33" ht="15" customHeight="1" x14ac:dyDescent="0.3">
      <c r="A79" s="9" t="s">
        <v>365</v>
      </c>
      <c r="D79" s="21">
        <f>(0)+D77-D78</f>
        <v>9.3648800000000012</v>
      </c>
      <c r="E79" s="21">
        <f t="shared" ref="E79:AG79" si="12">(D79)+E77-E78</f>
        <v>28.892124800000005</v>
      </c>
      <c r="F79" s="21">
        <f t="shared" si="12"/>
        <v>50.829159808000007</v>
      </c>
      <c r="G79" s="21">
        <f t="shared" si="12"/>
        <v>57.19655341568</v>
      </c>
      <c r="H79" s="21">
        <f t="shared" si="12"/>
        <v>54.908691279052803</v>
      </c>
      <c r="I79" s="21">
        <f t="shared" si="12"/>
        <v>52.712343627890689</v>
      </c>
      <c r="J79" s="21">
        <f t="shared" si="12"/>
        <v>50.603849882775059</v>
      </c>
      <c r="K79" s="21">
        <f t="shared" si="12"/>
        <v>48.579695887464055</v>
      </c>
      <c r="L79" s="21">
        <f t="shared" si="12"/>
        <v>46.636508051965492</v>
      </c>
      <c r="M79" s="21">
        <f t="shared" si="12"/>
        <v>44.771047729886874</v>
      </c>
      <c r="N79" s="21">
        <f t="shared" si="12"/>
        <v>42.980205820691396</v>
      </c>
      <c r="O79" s="21">
        <f t="shared" si="12"/>
        <v>41.260997587863741</v>
      </c>
      <c r="P79" s="21">
        <f t="shared" si="12"/>
        <v>39.610557684349189</v>
      </c>
      <c r="Q79" s="21">
        <f t="shared" si="12"/>
        <v>38.026135376975219</v>
      </c>
      <c r="R79" s="21">
        <f t="shared" si="12"/>
        <v>36.505089961896211</v>
      </c>
      <c r="S79" s="21">
        <f t="shared" si="12"/>
        <v>35.04488636342036</v>
      </c>
      <c r="T79" s="21">
        <f t="shared" si="12"/>
        <v>33.643090908883543</v>
      </c>
      <c r="U79" s="21">
        <f t="shared" si="12"/>
        <v>32.297367272528199</v>
      </c>
      <c r="V79" s="21">
        <f t="shared" si="12"/>
        <v>31.005472581627071</v>
      </c>
      <c r="W79" s="21">
        <f t="shared" si="12"/>
        <v>29.765253678361987</v>
      </c>
      <c r="X79" s="21">
        <f t="shared" si="12"/>
        <v>28.574643531227508</v>
      </c>
      <c r="Y79" s="21">
        <f t="shared" si="12"/>
        <v>27.431657789978409</v>
      </c>
      <c r="Z79" s="21">
        <f t="shared" si="12"/>
        <v>26.334391478379274</v>
      </c>
      <c r="AA79" s="21">
        <f t="shared" si="12"/>
        <v>25.281015819244104</v>
      </c>
      <c r="AB79" s="21">
        <f t="shared" si="12"/>
        <v>24.269775186474341</v>
      </c>
      <c r="AC79" s="21">
        <f t="shared" si="12"/>
        <v>23.298984179015367</v>
      </c>
      <c r="AD79" s="21">
        <f t="shared" si="12"/>
        <v>22.367024811854751</v>
      </c>
      <c r="AE79" s="21">
        <f t="shared" si="12"/>
        <v>21.472343819380562</v>
      </c>
      <c r="AF79" s="21">
        <f t="shared" si="12"/>
        <v>20.613450066605338</v>
      </c>
      <c r="AG79" s="21">
        <f t="shared" si="12"/>
        <v>19.788912063941126</v>
      </c>
    </row>
    <row r="81" spans="1:33" ht="15" customHeight="1" x14ac:dyDescent="0.3">
      <c r="A81" s="9" t="s">
        <v>366</v>
      </c>
      <c r="D81" s="21">
        <f>D73*Assumptions!$C$91</f>
        <v>5.9725000000000001</v>
      </c>
      <c r="E81" s="21">
        <f>E73*Assumptions!$C$91</f>
        <v>12.692500000000001</v>
      </c>
      <c r="F81" s="21">
        <f>F73*Assumptions!$C$91</f>
        <v>14.727499999999999</v>
      </c>
      <c r="G81" s="21">
        <f>G73*Assumptions!$C$91</f>
        <v>5.357499999999999</v>
      </c>
      <c r="H81" s="21">
        <f>H73*Assumptions!$C$91</f>
        <v>0</v>
      </c>
      <c r="I81" s="21">
        <f>I73*Assumptions!$C$91</f>
        <v>0</v>
      </c>
      <c r="J81" s="21">
        <f>J73*Assumptions!$C$91</f>
        <v>0</v>
      </c>
      <c r="K81" s="21">
        <f>K73*Assumptions!$C$91</f>
        <v>0</v>
      </c>
      <c r="L81" s="21">
        <f>L73*Assumptions!$C$91</f>
        <v>0</v>
      </c>
      <c r="M81" s="21">
        <f>M73*Assumptions!$C$91</f>
        <v>0</v>
      </c>
      <c r="N81" s="21">
        <f>N73*Assumptions!$C$91</f>
        <v>0</v>
      </c>
      <c r="O81" s="21">
        <f>O73*Assumptions!$C$91</f>
        <v>0</v>
      </c>
      <c r="P81" s="21">
        <f>P73*Assumptions!$C$91</f>
        <v>0</v>
      </c>
      <c r="Q81" s="21">
        <f>Q73*Assumptions!$C$91</f>
        <v>0</v>
      </c>
      <c r="R81" s="21">
        <f>R73*Assumptions!$C$91</f>
        <v>0</v>
      </c>
      <c r="S81" s="21">
        <f>S73*Assumptions!$C$91</f>
        <v>0</v>
      </c>
      <c r="T81" s="21">
        <f>T73*Assumptions!$C$91</f>
        <v>0</v>
      </c>
      <c r="U81" s="21">
        <f>U73*Assumptions!$C$91</f>
        <v>0</v>
      </c>
      <c r="V81" s="21">
        <f>V73*Assumptions!$C$91</f>
        <v>0</v>
      </c>
      <c r="W81" s="21">
        <f>W73*Assumptions!$C$91</f>
        <v>0</v>
      </c>
      <c r="X81" s="21">
        <f>X73*Assumptions!$C$91</f>
        <v>0</v>
      </c>
      <c r="Y81" s="21">
        <f>Y73*Assumptions!$C$91</f>
        <v>0</v>
      </c>
      <c r="Z81" s="21">
        <f>Z73*Assumptions!$C$91</f>
        <v>0</v>
      </c>
      <c r="AA81" s="21">
        <f>AA73*Assumptions!$C$91</f>
        <v>0</v>
      </c>
      <c r="AB81" s="21">
        <f>AB73*Assumptions!$C$91</f>
        <v>0</v>
      </c>
      <c r="AC81" s="21">
        <f>AC73*Assumptions!$C$91</f>
        <v>0</v>
      </c>
      <c r="AD81" s="21">
        <f>AD73*Assumptions!$C$91</f>
        <v>0</v>
      </c>
      <c r="AE81" s="21">
        <f>AE73*Assumptions!$C$91</f>
        <v>0</v>
      </c>
      <c r="AF81" s="21">
        <f>AF73*Assumptions!$C$91</f>
        <v>0</v>
      </c>
      <c r="AG81" s="21">
        <f>AG73*Assumptions!$C$91</f>
        <v>0</v>
      </c>
    </row>
    <row r="82" spans="1:33" ht="15" customHeight="1" x14ac:dyDescent="0.3">
      <c r="A82" s="9" t="s">
        <v>367</v>
      </c>
      <c r="D82" s="21">
        <f>(0+D81/2)*Assumptions!$B$91</f>
        <v>0.2389</v>
      </c>
      <c r="E82" s="21">
        <f>(D83+E81/2)*Assumptions!$B$91</f>
        <v>0.96638800000000002</v>
      </c>
      <c r="F82" s="21">
        <f>(E83+F81/2)*Assumptions!$B$91</f>
        <v>1.9858769600000004</v>
      </c>
      <c r="G82" s="21">
        <f>(F83+G81/2)*Assumptions!$B$91</f>
        <v>2.6304068032000005</v>
      </c>
      <c r="H82" s="21">
        <f>(G83+H81/2)*Assumptions!$B$91</f>
        <v>2.634274258944</v>
      </c>
      <c r="I82" s="21">
        <f>(H83+I81/2)*Assumptions!$B$91</f>
        <v>2.4235323182284803</v>
      </c>
      <c r="J82" s="21">
        <f>(I83+J81/2)*Assumptions!$B$91</f>
        <v>2.2296497327702016</v>
      </c>
      <c r="K82" s="21">
        <f>(J83+K81/2)*Assumptions!$B$91</f>
        <v>2.0512777541485856</v>
      </c>
      <c r="L82" s="21">
        <f>(K83+L81/2)*Assumptions!$B$91</f>
        <v>1.8871755338166987</v>
      </c>
      <c r="M82" s="21">
        <f>(L83+M81/2)*Assumptions!$B$91</f>
        <v>1.7362014911113628</v>
      </c>
      <c r="N82" s="21">
        <f>(M83+N81/2)*Assumptions!$B$91</f>
        <v>1.5973053718224537</v>
      </c>
      <c r="O82" s="21">
        <f>(N83+O81/2)*Assumptions!$B$91</f>
        <v>1.4695209420766575</v>
      </c>
      <c r="P82" s="21">
        <f>(O83+P81/2)*Assumptions!$B$91</f>
        <v>1.3519592667105249</v>
      </c>
      <c r="Q82" s="21">
        <f>(P83+Q81/2)*Assumptions!$B$91</f>
        <v>1.2438025253736829</v>
      </c>
      <c r="R82" s="21">
        <f>(Q83+R81/2)*Assumptions!$B$91</f>
        <v>1.1442983233437882</v>
      </c>
      <c r="S82" s="21">
        <f>(R83+S81/2)*Assumptions!$B$91</f>
        <v>1.0527544574762853</v>
      </c>
      <c r="T82" s="21">
        <f>(S83+T81/2)*Assumptions!$B$91</f>
        <v>0.96853410087818248</v>
      </c>
      <c r="U82" s="21">
        <f>(T83+U81/2)*Assumptions!$B$91</f>
        <v>0.8910513728079279</v>
      </c>
      <c r="V82" s="21">
        <f>(U83+V81/2)*Assumptions!$B$91</f>
        <v>0.81976726298329372</v>
      </c>
      <c r="W82" s="21">
        <f>(V83+W81/2)*Assumptions!$B$91</f>
        <v>0.7541858819446301</v>
      </c>
      <c r="X82" s="21">
        <f>(W83+X81/2)*Assumptions!$B$91</f>
        <v>0.69385101138905969</v>
      </c>
      <c r="Y82" s="21">
        <f>(X83+Y81/2)*Assumptions!$B$91</f>
        <v>0.63834293047793489</v>
      </c>
      <c r="Z82" s="21">
        <f>(Y83+Z81/2)*Assumptions!$B$91</f>
        <v>0.58727549603970008</v>
      </c>
      <c r="AA82" s="21">
        <f>(Z83+AA81/2)*Assumptions!$B$91</f>
        <v>0.54029345635652404</v>
      </c>
      <c r="AB82" s="21">
        <f>(AA83+AB81/2)*Assumptions!$B$91</f>
        <v>0.49706997984800211</v>
      </c>
      <c r="AC82" s="21">
        <f>(AB83+AC81/2)*Assumptions!$B$91</f>
        <v>0.45730438146016189</v>
      </c>
      <c r="AD82" s="21">
        <f>(AC83+AD81/2)*Assumptions!$B$91</f>
        <v>0.42072003094334898</v>
      </c>
      <c r="AE82" s="21">
        <f>(AD83+AE81/2)*Assumptions!$B$91</f>
        <v>0.38706242846788103</v>
      </c>
      <c r="AF82" s="21">
        <f>(AE83+AF81/2)*Assumptions!$B$91</f>
        <v>0.35609743419045053</v>
      </c>
      <c r="AG82" s="21">
        <f>(AF83+AG81/2)*Assumptions!$B$91</f>
        <v>0.32760963945521449</v>
      </c>
    </row>
    <row r="83" spans="1:33" ht="15" customHeight="1" x14ac:dyDescent="0.3">
      <c r="A83" s="9" t="s">
        <v>368</v>
      </c>
      <c r="D83" s="21">
        <f>(0)+D81-D82</f>
        <v>5.7336</v>
      </c>
      <c r="E83" s="21">
        <f t="shared" ref="E83:AG83" si="13">(D83)+E81-E82</f>
        <v>17.459712000000003</v>
      </c>
      <c r="F83" s="21">
        <f t="shared" si="13"/>
        <v>30.201335040000004</v>
      </c>
      <c r="G83" s="21">
        <f t="shared" si="13"/>
        <v>32.928428236800002</v>
      </c>
      <c r="H83" s="21">
        <f t="shared" si="13"/>
        <v>30.294153977856002</v>
      </c>
      <c r="I83" s="21">
        <f t="shared" si="13"/>
        <v>27.87062165962752</v>
      </c>
      <c r="J83" s="21">
        <f t="shared" si="13"/>
        <v>25.640971926857318</v>
      </c>
      <c r="K83" s="21">
        <f t="shared" si="13"/>
        <v>23.589694172708732</v>
      </c>
      <c r="L83" s="21">
        <f t="shared" si="13"/>
        <v>21.702518638892034</v>
      </c>
      <c r="M83" s="21">
        <f t="shared" si="13"/>
        <v>19.966317147780671</v>
      </c>
      <c r="N83" s="21">
        <f t="shared" si="13"/>
        <v>18.369011775958217</v>
      </c>
      <c r="O83" s="21">
        <f t="shared" si="13"/>
        <v>16.899490833881561</v>
      </c>
      <c r="P83" s="21">
        <f t="shared" si="13"/>
        <v>15.547531567171037</v>
      </c>
      <c r="Q83" s="21">
        <f t="shared" si="13"/>
        <v>14.303729041797354</v>
      </c>
      <c r="R83" s="21">
        <f t="shared" si="13"/>
        <v>13.159430718453565</v>
      </c>
      <c r="S83" s="21">
        <f t="shared" si="13"/>
        <v>12.106676260977281</v>
      </c>
      <c r="T83" s="21">
        <f t="shared" si="13"/>
        <v>11.138142160099099</v>
      </c>
      <c r="U83" s="21">
        <f t="shared" si="13"/>
        <v>10.247090787291171</v>
      </c>
      <c r="V83" s="21">
        <f t="shared" si="13"/>
        <v>9.4273235243078766</v>
      </c>
      <c r="W83" s="21">
        <f t="shared" si="13"/>
        <v>8.6731376423632458</v>
      </c>
      <c r="X83" s="21">
        <f t="shared" si="13"/>
        <v>7.9792866309741859</v>
      </c>
      <c r="Y83" s="21">
        <f t="shared" si="13"/>
        <v>7.3409437004962506</v>
      </c>
      <c r="Z83" s="21">
        <f t="shared" si="13"/>
        <v>6.7536682044565506</v>
      </c>
      <c r="AA83" s="21">
        <f t="shared" si="13"/>
        <v>6.2133747481000263</v>
      </c>
      <c r="AB83" s="21">
        <f t="shared" si="13"/>
        <v>5.7163047682520238</v>
      </c>
      <c r="AC83" s="21">
        <f t="shared" si="13"/>
        <v>5.259000386791862</v>
      </c>
      <c r="AD83" s="21">
        <f t="shared" si="13"/>
        <v>4.8382803558485126</v>
      </c>
      <c r="AE83" s="21">
        <f t="shared" si="13"/>
        <v>4.4512179273806316</v>
      </c>
      <c r="AF83" s="21">
        <f t="shared" si="13"/>
        <v>4.0951204931901808</v>
      </c>
      <c r="AG83" s="21">
        <f t="shared" si="13"/>
        <v>3.7675108537349664</v>
      </c>
    </row>
    <row r="85" spans="1:33" ht="15" customHeight="1" x14ac:dyDescent="0.3">
      <c r="A85" s="9" t="s">
        <v>369</v>
      </c>
      <c r="D85" s="21">
        <f>D73*Assumptions!$C$92</f>
        <v>4.7780000000000005</v>
      </c>
      <c r="E85" s="21">
        <f>E73*Assumptions!$C$92</f>
        <v>10.154000000000002</v>
      </c>
      <c r="F85" s="21">
        <f>F73*Assumptions!$C$92</f>
        <v>11.782</v>
      </c>
      <c r="G85" s="21">
        <f>G73*Assumptions!$C$92</f>
        <v>4.2859999999999996</v>
      </c>
      <c r="H85" s="21">
        <f>H73*Assumptions!$C$92</f>
        <v>0</v>
      </c>
      <c r="I85" s="21">
        <f>I73*Assumptions!$C$92</f>
        <v>0</v>
      </c>
      <c r="J85" s="21">
        <f>J73*Assumptions!$C$92</f>
        <v>0</v>
      </c>
      <c r="K85" s="21">
        <f>K73*Assumptions!$C$92</f>
        <v>0</v>
      </c>
      <c r="L85" s="21">
        <f>L73*Assumptions!$C$92</f>
        <v>0</v>
      </c>
      <c r="M85" s="21">
        <f>M73*Assumptions!$C$92</f>
        <v>0</v>
      </c>
      <c r="N85" s="21">
        <f>N73*Assumptions!$C$92</f>
        <v>0</v>
      </c>
      <c r="O85" s="21">
        <f>O73*Assumptions!$C$92</f>
        <v>0</v>
      </c>
      <c r="P85" s="21">
        <f>P73*Assumptions!$C$92</f>
        <v>0</v>
      </c>
      <c r="Q85" s="21">
        <f>Q73*Assumptions!$C$92</f>
        <v>0</v>
      </c>
      <c r="R85" s="21">
        <f>R73*Assumptions!$C$92</f>
        <v>0</v>
      </c>
      <c r="S85" s="21">
        <f>S73*Assumptions!$C$92</f>
        <v>0</v>
      </c>
      <c r="T85" s="21">
        <f>T73*Assumptions!$C$92</f>
        <v>0</v>
      </c>
      <c r="U85" s="21">
        <f>U73*Assumptions!$C$92</f>
        <v>0</v>
      </c>
      <c r="V85" s="21">
        <f>V73*Assumptions!$C$92</f>
        <v>0</v>
      </c>
      <c r="W85" s="21">
        <f>W73*Assumptions!$C$92</f>
        <v>0</v>
      </c>
      <c r="X85" s="21">
        <f>X73*Assumptions!$C$92</f>
        <v>0</v>
      </c>
      <c r="Y85" s="21">
        <f>Y73*Assumptions!$C$92</f>
        <v>0</v>
      </c>
      <c r="Z85" s="21">
        <f>Z73*Assumptions!$C$92</f>
        <v>0</v>
      </c>
      <c r="AA85" s="21">
        <f>AA73*Assumptions!$C$92</f>
        <v>0</v>
      </c>
      <c r="AB85" s="21">
        <f>AB73*Assumptions!$C$92</f>
        <v>0</v>
      </c>
      <c r="AC85" s="21">
        <f>AC73*Assumptions!$C$92</f>
        <v>0</v>
      </c>
      <c r="AD85" s="21">
        <f>AD73*Assumptions!$C$92</f>
        <v>0</v>
      </c>
      <c r="AE85" s="21">
        <f>AE73*Assumptions!$C$92</f>
        <v>0</v>
      </c>
      <c r="AF85" s="21">
        <f>AF73*Assumptions!$C$92</f>
        <v>0</v>
      </c>
      <c r="AG85" s="21">
        <f>AG73*Assumptions!$C$92</f>
        <v>0</v>
      </c>
    </row>
    <row r="86" spans="1:33" ht="15" customHeight="1" x14ac:dyDescent="0.3">
      <c r="A86" s="9" t="s">
        <v>370</v>
      </c>
      <c r="D86" s="21">
        <f>(0+D85/2)*Assumptions!$B$92</f>
        <v>0.47780000000000006</v>
      </c>
      <c r="E86" s="21">
        <f>(D87+E85/2)*Assumptions!$B$92</f>
        <v>1.8754400000000004</v>
      </c>
      <c r="F86" s="21">
        <f>(E87+F85/2)*Assumptions!$B$92</f>
        <v>3.6939520000000003</v>
      </c>
      <c r="G86" s="21">
        <f>(F87+G85/2)*Assumptions!$B$92</f>
        <v>4.5619616000000001</v>
      </c>
      <c r="H86" s="21">
        <f>(G87+H85/2)*Assumptions!$B$92</f>
        <v>4.07816928</v>
      </c>
      <c r="I86" s="21">
        <f>(H87+I85/2)*Assumptions!$B$92</f>
        <v>3.2625354239999993</v>
      </c>
      <c r="J86" s="21">
        <f>(I87+J85/2)*Assumptions!$B$92</f>
        <v>2.6100283391999994</v>
      </c>
      <c r="K86" s="21">
        <f>(J87+K85/2)*Assumptions!$B$92</f>
        <v>2.0880226713599996</v>
      </c>
      <c r="L86" s="21">
        <f>(K87+L85/2)*Assumptions!$B$92</f>
        <v>1.6704181370879998</v>
      </c>
      <c r="M86" s="21">
        <f>(L87+M85/2)*Assumptions!$B$92</f>
        <v>1.3363345096704</v>
      </c>
      <c r="N86" s="21">
        <f>(M87+N85/2)*Assumptions!$B$92</f>
        <v>1.0690676077363199</v>
      </c>
      <c r="O86" s="21">
        <f>(N87+O85/2)*Assumptions!$B$92</f>
        <v>0.85525408618905596</v>
      </c>
      <c r="P86" s="21">
        <f>(O87+P85/2)*Assumptions!$B$92</f>
        <v>0.68420326895124484</v>
      </c>
      <c r="Q86" s="21">
        <f>(P87+Q85/2)*Assumptions!$B$92</f>
        <v>0.54736261516099582</v>
      </c>
      <c r="R86" s="21">
        <f>(Q87+R85/2)*Assumptions!$B$92</f>
        <v>0.4378900921287967</v>
      </c>
      <c r="S86" s="21">
        <f>(R87+S85/2)*Assumptions!$B$92</f>
        <v>0.35031207370303735</v>
      </c>
      <c r="T86" s="21">
        <f>(S87+T85/2)*Assumptions!$B$92</f>
        <v>0.28024965896242987</v>
      </c>
      <c r="U86" s="21">
        <f>(T87+U85/2)*Assumptions!$B$92</f>
        <v>0.22419972716994385</v>
      </c>
      <c r="V86" s="21">
        <f>(U87+V85/2)*Assumptions!$B$92</f>
        <v>0.1793597817359551</v>
      </c>
      <c r="W86" s="21">
        <f>(V87+W85/2)*Assumptions!$B$92</f>
        <v>0.14348782538876406</v>
      </c>
      <c r="X86" s="21">
        <f>(W87+X85/2)*Assumptions!$B$92</f>
        <v>0.11479026031101125</v>
      </c>
      <c r="Y86" s="21">
        <f>(X87+Y85/2)*Assumptions!$B$92</f>
        <v>9.1832208248809E-2</v>
      </c>
      <c r="Z86" s="21">
        <f>(Y87+Z85/2)*Assumptions!$B$92</f>
        <v>7.3465766599047203E-2</v>
      </c>
      <c r="AA86" s="21">
        <f>(Z87+AA85/2)*Assumptions!$B$92</f>
        <v>5.8772613279237766E-2</v>
      </c>
      <c r="AB86" s="21">
        <f>(AA87+AB85/2)*Assumptions!$B$92</f>
        <v>4.7018090623390213E-2</v>
      </c>
      <c r="AC86" s="21">
        <f>(AB87+AC85/2)*Assumptions!$B$92</f>
        <v>3.7614472498712165E-2</v>
      </c>
      <c r="AD86" s="21">
        <f>(AC87+AD85/2)*Assumptions!$B$92</f>
        <v>3.0091577998969735E-2</v>
      </c>
      <c r="AE86" s="21">
        <f>(AD87+AE85/2)*Assumptions!$B$92</f>
        <v>2.4073262399175788E-2</v>
      </c>
      <c r="AF86" s="21">
        <f>(AE87+AF85/2)*Assumptions!$B$92</f>
        <v>1.9258609919340627E-2</v>
      </c>
      <c r="AG86" s="21">
        <f>(AF87+AG85/2)*Assumptions!$B$92</f>
        <v>1.5406887935472503E-2</v>
      </c>
    </row>
    <row r="87" spans="1:33" ht="15" customHeight="1" x14ac:dyDescent="0.3">
      <c r="A87" s="9" t="s">
        <v>371</v>
      </c>
      <c r="D87" s="21">
        <f>(0)+D85-D86</f>
        <v>4.3002000000000002</v>
      </c>
      <c r="E87" s="21">
        <f t="shared" ref="E87:AG87" si="14">(D87)+E85-E86</f>
        <v>12.578760000000001</v>
      </c>
      <c r="F87" s="21">
        <f t="shared" si="14"/>
        <v>20.666808</v>
      </c>
      <c r="G87" s="21">
        <f t="shared" si="14"/>
        <v>20.390846399999997</v>
      </c>
      <c r="H87" s="21">
        <f t="shared" si="14"/>
        <v>16.312677119999996</v>
      </c>
      <c r="I87" s="21">
        <f t="shared" si="14"/>
        <v>13.050141695999997</v>
      </c>
      <c r="J87" s="21">
        <f t="shared" si="14"/>
        <v>10.440113356799998</v>
      </c>
      <c r="K87" s="21">
        <f t="shared" si="14"/>
        <v>8.3520906854399986</v>
      </c>
      <c r="L87" s="21">
        <f t="shared" si="14"/>
        <v>6.6816725483519992</v>
      </c>
      <c r="M87" s="21">
        <f t="shared" si="14"/>
        <v>5.3453380386815992</v>
      </c>
      <c r="N87" s="21">
        <f t="shared" si="14"/>
        <v>4.2762704309452797</v>
      </c>
      <c r="O87" s="21">
        <f t="shared" si="14"/>
        <v>3.4210163447562238</v>
      </c>
      <c r="P87" s="21">
        <f t="shared" si="14"/>
        <v>2.7368130758049789</v>
      </c>
      <c r="Q87" s="21">
        <f t="shared" si="14"/>
        <v>2.1894504606439833</v>
      </c>
      <c r="R87" s="21">
        <f t="shared" si="14"/>
        <v>1.7515603685151866</v>
      </c>
      <c r="S87" s="21">
        <f t="shared" si="14"/>
        <v>1.4012482948121492</v>
      </c>
      <c r="T87" s="21">
        <f t="shared" si="14"/>
        <v>1.1209986358497193</v>
      </c>
      <c r="U87" s="21">
        <f t="shared" si="14"/>
        <v>0.89679890867977541</v>
      </c>
      <c r="V87" s="21">
        <f t="shared" si="14"/>
        <v>0.71743912694382028</v>
      </c>
      <c r="W87" s="21">
        <f t="shared" si="14"/>
        <v>0.57395130155505625</v>
      </c>
      <c r="X87" s="21">
        <f t="shared" si="14"/>
        <v>0.459161041244045</v>
      </c>
      <c r="Y87" s="21">
        <f t="shared" si="14"/>
        <v>0.367328832995236</v>
      </c>
      <c r="Z87" s="21">
        <f t="shared" si="14"/>
        <v>0.29386306639618881</v>
      </c>
      <c r="AA87" s="21">
        <f t="shared" si="14"/>
        <v>0.23509045311695104</v>
      </c>
      <c r="AB87" s="21">
        <f t="shared" si="14"/>
        <v>0.18807236249356082</v>
      </c>
      <c r="AC87" s="21">
        <f t="shared" si="14"/>
        <v>0.15045788999484866</v>
      </c>
      <c r="AD87" s="21">
        <f t="shared" si="14"/>
        <v>0.12036631199587892</v>
      </c>
      <c r="AE87" s="21">
        <f t="shared" si="14"/>
        <v>9.6293049596703137E-2</v>
      </c>
      <c r="AF87" s="21">
        <f t="shared" si="14"/>
        <v>7.703443967736251E-2</v>
      </c>
      <c r="AG87" s="21">
        <f t="shared" si="14"/>
        <v>6.162755174189001E-2</v>
      </c>
    </row>
    <row r="89" spans="1:33" ht="15" customHeight="1" x14ac:dyDescent="0.3">
      <c r="A89" s="9" t="s">
        <v>372</v>
      </c>
      <c r="D89" s="21">
        <f>D73*Assumptions!$C$93</f>
        <v>2.3890000000000002</v>
      </c>
      <c r="E89" s="21">
        <f>E73*Assumptions!$C$93</f>
        <v>5.0770000000000008</v>
      </c>
      <c r="F89" s="21">
        <f>F73*Assumptions!$C$93</f>
        <v>5.891</v>
      </c>
      <c r="G89" s="21">
        <f>G73*Assumptions!$C$93</f>
        <v>2.1429999999999998</v>
      </c>
      <c r="H89" s="21">
        <f>H73*Assumptions!$C$93</f>
        <v>0</v>
      </c>
      <c r="I89" s="21">
        <f>I73*Assumptions!$C$93</f>
        <v>0</v>
      </c>
      <c r="J89" s="21">
        <f>J73*Assumptions!$C$93</f>
        <v>0</v>
      </c>
      <c r="K89" s="21">
        <f>K73*Assumptions!$C$93</f>
        <v>0</v>
      </c>
      <c r="L89" s="21">
        <f>L73*Assumptions!$C$93</f>
        <v>0</v>
      </c>
      <c r="M89" s="21">
        <f>M73*Assumptions!$C$93</f>
        <v>0</v>
      </c>
      <c r="N89" s="21">
        <f>N73*Assumptions!$C$93</f>
        <v>0</v>
      </c>
      <c r="O89" s="21">
        <f>O73*Assumptions!$C$93</f>
        <v>0</v>
      </c>
      <c r="P89" s="21">
        <f>P73*Assumptions!$C$93</f>
        <v>0</v>
      </c>
      <c r="Q89" s="21">
        <f>Q73*Assumptions!$C$93</f>
        <v>0</v>
      </c>
      <c r="R89" s="21">
        <f>R73*Assumptions!$C$93</f>
        <v>0</v>
      </c>
      <c r="S89" s="21">
        <f>S73*Assumptions!$C$93</f>
        <v>0</v>
      </c>
      <c r="T89" s="21">
        <f>T73*Assumptions!$C$93</f>
        <v>0</v>
      </c>
      <c r="U89" s="21">
        <f>U73*Assumptions!$C$93</f>
        <v>0</v>
      </c>
      <c r="V89" s="21">
        <f>V73*Assumptions!$C$93</f>
        <v>0</v>
      </c>
      <c r="W89" s="21">
        <f>W73*Assumptions!$C$93</f>
        <v>0</v>
      </c>
      <c r="X89" s="21">
        <f>X73*Assumptions!$C$93</f>
        <v>0</v>
      </c>
      <c r="Y89" s="21">
        <f>Y73*Assumptions!$C$93</f>
        <v>0</v>
      </c>
      <c r="Z89" s="21">
        <f>Z73*Assumptions!$C$93</f>
        <v>0</v>
      </c>
      <c r="AA89" s="21">
        <f>AA73*Assumptions!$C$93</f>
        <v>0</v>
      </c>
      <c r="AB89" s="21">
        <f>AB73*Assumptions!$C$93</f>
        <v>0</v>
      </c>
      <c r="AC89" s="21">
        <f>AC73*Assumptions!$C$93</f>
        <v>0</v>
      </c>
      <c r="AD89" s="21">
        <f>AD73*Assumptions!$C$93</f>
        <v>0</v>
      </c>
      <c r="AE89" s="21">
        <f>AE73*Assumptions!$C$93</f>
        <v>0</v>
      </c>
      <c r="AF89" s="21">
        <f>AF73*Assumptions!$C$93</f>
        <v>0</v>
      </c>
      <c r="AG89" s="21">
        <f>AG73*Assumptions!$C$93</f>
        <v>0</v>
      </c>
    </row>
    <row r="90" spans="1:33" ht="15" customHeight="1" x14ac:dyDescent="0.3">
      <c r="A90" s="9" t="s">
        <v>373</v>
      </c>
      <c r="D90" s="21">
        <f>(0+D89/2)*Assumptions!$B$93</f>
        <v>0.35835</v>
      </c>
      <c r="E90" s="21">
        <f>(D91+E89/2)*Assumptions!$B$93</f>
        <v>1.3707450000000001</v>
      </c>
      <c r="F90" s="21">
        <f>(E91+F89/2)*Assumptions!$B$93</f>
        <v>2.6047215000000001</v>
      </c>
      <c r="G90" s="21">
        <f>(F91+G89/2)*Assumptions!$B$93</f>
        <v>3.0284050500000004</v>
      </c>
      <c r="H90" s="21">
        <f>(G91+H89/2)*Assumptions!$B$93</f>
        <v>2.4413335350000005</v>
      </c>
      <c r="I90" s="21">
        <f>(H91+I89/2)*Assumptions!$B$93</f>
        <v>1.7089334745000007</v>
      </c>
      <c r="J90" s="21">
        <f>(I91+J89/2)*Assumptions!$B$93</f>
        <v>1.1962534321500005</v>
      </c>
      <c r="K90" s="21">
        <f>(J91+K89/2)*Assumptions!$B$93</f>
        <v>0.83737740250500048</v>
      </c>
      <c r="L90" s="21">
        <f>(K91+L89/2)*Assumptions!$B$93</f>
        <v>0.58616418175350027</v>
      </c>
      <c r="M90" s="21">
        <f>(L91+M89/2)*Assumptions!$B$93</f>
        <v>0.41031492722745022</v>
      </c>
      <c r="N90" s="21">
        <f>(M91+N89/2)*Assumptions!$B$93</f>
        <v>0.28722044905921512</v>
      </c>
      <c r="O90" s="21">
        <f>(N91+O89/2)*Assumptions!$B$93</f>
        <v>0.2010543143414506</v>
      </c>
      <c r="P90" s="21">
        <f>(O91+P89/2)*Assumptions!$B$93</f>
        <v>0.14073802003901542</v>
      </c>
      <c r="Q90" s="21">
        <f>(P91+Q89/2)*Assumptions!$B$93</f>
        <v>9.8516614027310795E-2</v>
      </c>
      <c r="R90" s="21">
        <f>(Q91+R89/2)*Assumptions!$B$93</f>
        <v>6.8961629819117548E-2</v>
      </c>
      <c r="S90" s="21">
        <f>(R91+S89/2)*Assumptions!$B$93</f>
        <v>4.8273140873382289E-2</v>
      </c>
      <c r="T90" s="21">
        <f>(S91+T89/2)*Assumptions!$B$93</f>
        <v>3.3791198611367604E-2</v>
      </c>
      <c r="U90" s="21">
        <f>(T91+U89/2)*Assumptions!$B$93</f>
        <v>2.3653839027957323E-2</v>
      </c>
      <c r="V90" s="21">
        <f>(U91+V89/2)*Assumptions!$B$93</f>
        <v>1.6557687319570125E-2</v>
      </c>
      <c r="W90" s="21">
        <f>(V91+W89/2)*Assumptions!$B$93</f>
        <v>1.1590381123699089E-2</v>
      </c>
      <c r="X90" s="21">
        <f>(W91+X89/2)*Assumptions!$B$93</f>
        <v>8.1132667865893623E-3</v>
      </c>
      <c r="Y90" s="21">
        <f>(X91+Y89/2)*Assumptions!$B$93</f>
        <v>5.6792867506125534E-3</v>
      </c>
      <c r="Z90" s="21">
        <f>(Y91+Z89/2)*Assumptions!$B$93</f>
        <v>3.9755007254287872E-3</v>
      </c>
      <c r="AA90" s="21">
        <f>(Z91+AA89/2)*Assumptions!$B$93</f>
        <v>2.7828505078001512E-3</v>
      </c>
      <c r="AB90" s="21">
        <f>(AA91+AB89/2)*Assumptions!$B$93</f>
        <v>1.9479953554601061E-3</v>
      </c>
      <c r="AC90" s="21">
        <f>(AB91+AC89/2)*Assumptions!$B$93</f>
        <v>1.3635967488220743E-3</v>
      </c>
      <c r="AD90" s="21">
        <f>(AC91+AD89/2)*Assumptions!$B$93</f>
        <v>9.5451772417545202E-4</v>
      </c>
      <c r="AE90" s="21">
        <f>(AD91+AE89/2)*Assumptions!$B$93</f>
        <v>6.6816240692281644E-4</v>
      </c>
      <c r="AF90" s="21">
        <f>(AE91+AF89/2)*Assumptions!$B$93</f>
        <v>4.6771368484597152E-4</v>
      </c>
      <c r="AG90" s="21">
        <f>(AF91+AG89/2)*Assumptions!$B$93</f>
        <v>3.2739957939218009E-4</v>
      </c>
    </row>
    <row r="91" spans="1:33" ht="15" customHeight="1" x14ac:dyDescent="0.3">
      <c r="A91" s="9" t="s">
        <v>374</v>
      </c>
      <c r="D91" s="21">
        <f>(0)+D89-D90</f>
        <v>2.0306500000000001</v>
      </c>
      <c r="E91" s="21">
        <f t="shared" ref="E91:AG91" si="15">(D91)+E89-E90</f>
        <v>5.736905000000001</v>
      </c>
      <c r="F91" s="21">
        <f t="shared" si="15"/>
        <v>9.0231835000000018</v>
      </c>
      <c r="G91" s="21">
        <f t="shared" si="15"/>
        <v>8.1377784500000026</v>
      </c>
      <c r="H91" s="21">
        <f t="shared" si="15"/>
        <v>5.6964449150000025</v>
      </c>
      <c r="I91" s="21">
        <f t="shared" si="15"/>
        <v>3.9875114405000018</v>
      </c>
      <c r="J91" s="21">
        <f t="shared" si="15"/>
        <v>2.7912580083500016</v>
      </c>
      <c r="K91" s="21">
        <f t="shared" si="15"/>
        <v>1.9538806058450011</v>
      </c>
      <c r="L91" s="21">
        <f t="shared" si="15"/>
        <v>1.3677164240915007</v>
      </c>
      <c r="M91" s="21">
        <f t="shared" si="15"/>
        <v>0.95740149686405052</v>
      </c>
      <c r="N91" s="21">
        <f t="shared" si="15"/>
        <v>0.67018104780483534</v>
      </c>
      <c r="O91" s="21">
        <f t="shared" si="15"/>
        <v>0.46912673346338474</v>
      </c>
      <c r="P91" s="21">
        <f t="shared" si="15"/>
        <v>0.32838871342436932</v>
      </c>
      <c r="Q91" s="21">
        <f t="shared" si="15"/>
        <v>0.22987209939705852</v>
      </c>
      <c r="R91" s="21">
        <f t="shared" si="15"/>
        <v>0.16091046957794097</v>
      </c>
      <c r="S91" s="21">
        <f t="shared" si="15"/>
        <v>0.11263732870455868</v>
      </c>
      <c r="T91" s="21">
        <f t="shared" si="15"/>
        <v>7.884613009319108E-2</v>
      </c>
      <c r="U91" s="21">
        <f t="shared" si="15"/>
        <v>5.5192291065233753E-2</v>
      </c>
      <c r="V91" s="21">
        <f t="shared" si="15"/>
        <v>3.8634603745663632E-2</v>
      </c>
      <c r="W91" s="21">
        <f t="shared" si="15"/>
        <v>2.7044222621964542E-2</v>
      </c>
      <c r="X91" s="21">
        <f t="shared" si="15"/>
        <v>1.8930955835375178E-2</v>
      </c>
      <c r="Y91" s="21">
        <f t="shared" si="15"/>
        <v>1.3251669084762625E-2</v>
      </c>
      <c r="Z91" s="21">
        <f t="shared" si="15"/>
        <v>9.2761683593338383E-3</v>
      </c>
      <c r="AA91" s="21">
        <f t="shared" si="15"/>
        <v>6.4933178515336875E-3</v>
      </c>
      <c r="AB91" s="21">
        <f t="shared" si="15"/>
        <v>4.5453224960735816E-3</v>
      </c>
      <c r="AC91" s="21">
        <f t="shared" si="15"/>
        <v>3.181725747251507E-3</v>
      </c>
      <c r="AD91" s="21">
        <f t="shared" si="15"/>
        <v>2.227208023076055E-3</v>
      </c>
      <c r="AE91" s="21">
        <f t="shared" si="15"/>
        <v>1.5590456161532385E-3</v>
      </c>
      <c r="AF91" s="21">
        <f t="shared" si="15"/>
        <v>1.0913319313072671E-3</v>
      </c>
      <c r="AG91" s="21">
        <f t="shared" si="15"/>
        <v>7.6393235191508696E-4</v>
      </c>
    </row>
    <row r="93" spans="1:33" ht="15" customHeight="1" x14ac:dyDescent="0.3">
      <c r="A93" s="9" t="s">
        <v>375</v>
      </c>
      <c r="D93" s="21">
        <f>D73*Assumptions!$C$94</f>
        <v>1.1945000000000001</v>
      </c>
      <c r="E93" s="21">
        <f>E73*Assumptions!$C$94</f>
        <v>2.5385000000000004</v>
      </c>
      <c r="F93" s="21">
        <f>F73*Assumptions!$C$94</f>
        <v>2.9455</v>
      </c>
      <c r="G93" s="21">
        <f>G73*Assumptions!$C$94</f>
        <v>1.0714999999999999</v>
      </c>
      <c r="H93" s="21">
        <f>H73*Assumptions!$C$94</f>
        <v>0</v>
      </c>
      <c r="I93" s="21">
        <f>I73*Assumptions!$C$94</f>
        <v>0</v>
      </c>
      <c r="J93" s="21">
        <f>J73*Assumptions!$C$94</f>
        <v>0</v>
      </c>
      <c r="K93" s="21">
        <f>K73*Assumptions!$C$94</f>
        <v>0</v>
      </c>
      <c r="L93" s="21">
        <f>L73*Assumptions!$C$94</f>
        <v>0</v>
      </c>
      <c r="M93" s="21">
        <f>M73*Assumptions!$C$94</f>
        <v>0</v>
      </c>
      <c r="N93" s="21">
        <f>N73*Assumptions!$C$94</f>
        <v>0</v>
      </c>
      <c r="O93" s="21">
        <f>O73*Assumptions!$C$94</f>
        <v>0</v>
      </c>
      <c r="P93" s="21">
        <f>P73*Assumptions!$C$94</f>
        <v>0</v>
      </c>
      <c r="Q93" s="21">
        <f>Q73*Assumptions!$C$94</f>
        <v>0</v>
      </c>
      <c r="R93" s="21">
        <f>R73*Assumptions!$C$94</f>
        <v>0</v>
      </c>
      <c r="S93" s="21">
        <f>S73*Assumptions!$C$94</f>
        <v>0</v>
      </c>
      <c r="T93" s="21">
        <f>T73*Assumptions!$C$94</f>
        <v>0</v>
      </c>
      <c r="U93" s="21">
        <f>U73*Assumptions!$C$94</f>
        <v>0</v>
      </c>
      <c r="V93" s="21">
        <f>V73*Assumptions!$C$94</f>
        <v>0</v>
      </c>
      <c r="W93" s="21">
        <f>W73*Assumptions!$C$94</f>
        <v>0</v>
      </c>
      <c r="X93" s="21">
        <f>X73*Assumptions!$C$94</f>
        <v>0</v>
      </c>
      <c r="Y93" s="21">
        <f>Y73*Assumptions!$C$94</f>
        <v>0</v>
      </c>
      <c r="Z93" s="21">
        <f>Z73*Assumptions!$C$94</f>
        <v>0</v>
      </c>
      <c r="AA93" s="21">
        <f>AA73*Assumptions!$C$94</f>
        <v>0</v>
      </c>
      <c r="AB93" s="21">
        <f>AB73*Assumptions!$C$94</f>
        <v>0</v>
      </c>
      <c r="AC93" s="21">
        <f>AC73*Assumptions!$C$94</f>
        <v>0</v>
      </c>
      <c r="AD93" s="21">
        <f>AD73*Assumptions!$C$94</f>
        <v>0</v>
      </c>
      <c r="AE93" s="21">
        <f>AE73*Assumptions!$C$94</f>
        <v>0</v>
      </c>
      <c r="AF93" s="21">
        <f>AF73*Assumptions!$C$94</f>
        <v>0</v>
      </c>
      <c r="AG93" s="21">
        <f>AG73*Assumptions!$C$94</f>
        <v>0</v>
      </c>
    </row>
    <row r="94" spans="1:33" ht="15" customHeight="1" x14ac:dyDescent="0.3">
      <c r="A94" s="9" t="s">
        <v>376</v>
      </c>
      <c r="D94" s="21">
        <f>(0+D93/2)*Assumptions!$B$94</f>
        <v>0.32848750000000004</v>
      </c>
      <c r="E94" s="21">
        <f>(D95+E93/2)*Assumptions!$B$94</f>
        <v>1.1743943750000003</v>
      </c>
      <c r="F94" s="21">
        <f>(E95+F93/2)*Assumptions!$B$94</f>
        <v>2.0365774687500005</v>
      </c>
      <c r="G94" s="21">
        <f>(F95+G93/2)*Assumptions!$B$94</f>
        <v>2.0211348609374995</v>
      </c>
      <c r="H94" s="21">
        <f>(G95+H93/2)*Assumptions!$B$94</f>
        <v>1.2041731874218748</v>
      </c>
      <c r="I94" s="21">
        <f>(H95+I93/2)*Assumptions!$B$94</f>
        <v>0.54187793433984366</v>
      </c>
      <c r="J94" s="21">
        <f>(I95+J93/2)*Assumptions!$B$94</f>
        <v>0.24384507045292966</v>
      </c>
      <c r="K94" s="21">
        <f>(J95+K93/2)*Assumptions!$B$94</f>
        <v>0.10973028170381834</v>
      </c>
      <c r="L94" s="21">
        <f>(K95+L93/2)*Assumptions!$B$94</f>
        <v>4.9378626766718253E-2</v>
      </c>
      <c r="M94" s="21">
        <f>(L95+M93/2)*Assumptions!$B$94</f>
        <v>2.2220382045023211E-2</v>
      </c>
      <c r="N94" s="21">
        <f>(M95+N93/2)*Assumptions!$B$94</f>
        <v>9.9991719202604419E-3</v>
      </c>
      <c r="O94" s="21">
        <f>(N95+O93/2)*Assumptions!$B$94</f>
        <v>4.499627364117199E-3</v>
      </c>
      <c r="P94" s="21">
        <f>(O95+P93/2)*Assumptions!$B$94</f>
        <v>2.0248323138527392E-3</v>
      </c>
      <c r="Q94" s="21">
        <f>(P95+Q93/2)*Assumptions!$B$94</f>
        <v>9.1117454123373258E-4</v>
      </c>
      <c r="R94" s="21">
        <f>(Q95+R93/2)*Assumptions!$B$94</f>
        <v>4.100285435551796E-4</v>
      </c>
      <c r="S94" s="21">
        <f>(R95+S93/2)*Assumptions!$B$94</f>
        <v>1.8451284459983079E-4</v>
      </c>
      <c r="T94" s="21">
        <f>(S95+T93/2)*Assumptions!$B$94</f>
        <v>8.3030780069923854E-5</v>
      </c>
      <c r="U94" s="21">
        <f>(T95+U93/2)*Assumptions!$B$94</f>
        <v>3.7363851031465725E-5</v>
      </c>
      <c r="V94" s="21">
        <f>(U95+V93/2)*Assumptions!$B$94</f>
        <v>1.6813732964159578E-5</v>
      </c>
      <c r="W94" s="21">
        <f>(V95+W93/2)*Assumptions!$B$94</f>
        <v>7.5661798338718075E-6</v>
      </c>
      <c r="X94" s="21">
        <f>(W95+X93/2)*Assumptions!$B$94</f>
        <v>3.404780925242313E-6</v>
      </c>
      <c r="Y94" s="21">
        <f>(X95+Y93/2)*Assumptions!$B$94</f>
        <v>1.5321514163590408E-6</v>
      </c>
      <c r="Z94" s="21">
        <f>(Y95+Z93/2)*Assumptions!$B$94</f>
        <v>6.8946813736156836E-7</v>
      </c>
      <c r="AA94" s="21">
        <f>(Z95+AA93/2)*Assumptions!$B$94</f>
        <v>3.1026066181270571E-7</v>
      </c>
      <c r="AB94" s="21">
        <f>(AA95+AB93/2)*Assumptions!$B$94</f>
        <v>1.3961729781571755E-7</v>
      </c>
      <c r="AC94" s="21">
        <f>(AB95+AC93/2)*Assumptions!$B$94</f>
        <v>6.2827784017072885E-8</v>
      </c>
      <c r="AD94" s="21">
        <f>(AC95+AD93/2)*Assumptions!$B$94</f>
        <v>2.8272502807682792E-8</v>
      </c>
      <c r="AE94" s="21">
        <f>(AD95+AE93/2)*Assumptions!$B$94</f>
        <v>1.2722626263457254E-8</v>
      </c>
      <c r="AF94" s="21">
        <f>(AE95+AF93/2)*Assumptions!$B$94</f>
        <v>5.7251818185557639E-9</v>
      </c>
      <c r="AG94" s="21">
        <f>(AF95+AG93/2)*Assumptions!$B$94</f>
        <v>2.5763318183500933E-9</v>
      </c>
    </row>
    <row r="95" spans="1:33" ht="15" customHeight="1" x14ac:dyDescent="0.3">
      <c r="A95" s="9" t="s">
        <v>377</v>
      </c>
      <c r="D95" s="21">
        <f>(0)+D93-D94</f>
        <v>0.86601250000000007</v>
      </c>
      <c r="E95" s="21">
        <f t="shared" ref="E95:AG95" si="16">(D95)+E93-E94</f>
        <v>2.2301181250000002</v>
      </c>
      <c r="F95" s="21">
        <f t="shared" si="16"/>
        <v>3.1390406562499993</v>
      </c>
      <c r="G95" s="21">
        <f t="shared" si="16"/>
        <v>2.1894057953124997</v>
      </c>
      <c r="H95" s="21">
        <f t="shared" si="16"/>
        <v>0.98523260789062483</v>
      </c>
      <c r="I95" s="21">
        <f t="shared" si="16"/>
        <v>0.44335467355078118</v>
      </c>
      <c r="J95" s="21">
        <f t="shared" si="16"/>
        <v>0.19950960309785151</v>
      </c>
      <c r="K95" s="21">
        <f t="shared" si="16"/>
        <v>8.9779321394033176E-2</v>
      </c>
      <c r="L95" s="21">
        <f t="shared" si="16"/>
        <v>4.0400694627314923E-2</v>
      </c>
      <c r="M95" s="21">
        <f t="shared" si="16"/>
        <v>1.8180312582291712E-2</v>
      </c>
      <c r="N95" s="21">
        <f t="shared" si="16"/>
        <v>8.18114066203127E-3</v>
      </c>
      <c r="O95" s="21">
        <f t="shared" si="16"/>
        <v>3.681513297914071E-3</v>
      </c>
      <c r="P95" s="21">
        <f t="shared" si="16"/>
        <v>1.6566809840613318E-3</v>
      </c>
      <c r="Q95" s="21">
        <f t="shared" si="16"/>
        <v>7.4550644282759919E-4</v>
      </c>
      <c r="R95" s="21">
        <f t="shared" si="16"/>
        <v>3.3547789927241959E-4</v>
      </c>
      <c r="S95" s="21">
        <f t="shared" si="16"/>
        <v>1.5096505467258881E-4</v>
      </c>
      <c r="T95" s="21">
        <f t="shared" si="16"/>
        <v>6.7934274602664952E-5</v>
      </c>
      <c r="U95" s="21">
        <f t="shared" si="16"/>
        <v>3.0570423571199227E-5</v>
      </c>
      <c r="V95" s="21">
        <f t="shared" si="16"/>
        <v>1.3756690607039649E-5</v>
      </c>
      <c r="W95" s="21">
        <f t="shared" si="16"/>
        <v>6.1905107731678416E-6</v>
      </c>
      <c r="X95" s="21">
        <f t="shared" si="16"/>
        <v>2.7857298479255286E-6</v>
      </c>
      <c r="Y95" s="21">
        <f t="shared" si="16"/>
        <v>1.2535784315664878E-6</v>
      </c>
      <c r="Z95" s="21">
        <f t="shared" si="16"/>
        <v>5.6411029420491939E-7</v>
      </c>
      <c r="AA95" s="21">
        <f t="shared" si="16"/>
        <v>2.5384963239221368E-7</v>
      </c>
      <c r="AB95" s="21">
        <f t="shared" si="16"/>
        <v>1.1423233457649614E-7</v>
      </c>
      <c r="AC95" s="21">
        <f t="shared" si="16"/>
        <v>5.1404550559423252E-8</v>
      </c>
      <c r="AD95" s="21">
        <f t="shared" si="16"/>
        <v>2.313204775174046E-8</v>
      </c>
      <c r="AE95" s="21">
        <f t="shared" si="16"/>
        <v>1.0409421488283206E-8</v>
      </c>
      <c r="AF95" s="21">
        <f t="shared" si="16"/>
        <v>4.6842396697274423E-9</v>
      </c>
      <c r="AG95" s="21">
        <f t="shared" si="16"/>
        <v>2.1079078513773489E-9</v>
      </c>
    </row>
    <row r="97" spans="1:33" ht="15" customHeight="1" x14ac:dyDescent="0.3">
      <c r="A97" s="13" t="s">
        <v>184</v>
      </c>
      <c r="D97" s="22">
        <f t="shared" ref="D97:AG97" si="17">D78+D82+D86+D90+D94</f>
        <v>1.5946575000000001</v>
      </c>
      <c r="E97" s="22">
        <f t="shared" si="17"/>
        <v>6.1677225750000009</v>
      </c>
      <c r="F97" s="22">
        <f t="shared" si="17"/>
        <v>11.94809292075</v>
      </c>
      <c r="G97" s="22">
        <f t="shared" si="17"/>
        <v>14.446514706457501</v>
      </c>
      <c r="H97" s="22">
        <f t="shared" si="17"/>
        <v>12.645812397993076</v>
      </c>
      <c r="I97" s="22">
        <f t="shared" si="17"/>
        <v>10.133226802230435</v>
      </c>
      <c r="J97" s="22">
        <f t="shared" si="17"/>
        <v>8.3882703196887576</v>
      </c>
      <c r="K97" s="22">
        <f t="shared" si="17"/>
        <v>7.1105621050284054</v>
      </c>
      <c r="L97" s="22">
        <f t="shared" si="17"/>
        <v>6.1363243149234794</v>
      </c>
      <c r="M97" s="22">
        <f t="shared" si="17"/>
        <v>5.3705316321328551</v>
      </c>
      <c r="N97" s="22">
        <f t="shared" si="17"/>
        <v>4.7544345097337253</v>
      </c>
      <c r="O97" s="22">
        <f t="shared" si="17"/>
        <v>4.2495372027989378</v>
      </c>
      <c r="P97" s="22">
        <f t="shared" si="17"/>
        <v>3.8293652915291876</v>
      </c>
      <c r="Q97" s="22">
        <f t="shared" si="17"/>
        <v>3.4750152364771911</v>
      </c>
      <c r="R97" s="22">
        <f t="shared" si="17"/>
        <v>3.1726054889142659</v>
      </c>
      <c r="S97" s="22">
        <f t="shared" si="17"/>
        <v>2.911727783373153</v>
      </c>
      <c r="T97" s="22">
        <f t="shared" si="17"/>
        <v>2.6844534437688647</v>
      </c>
      <c r="U97" s="22">
        <f t="shared" si="17"/>
        <v>2.4846659392122024</v>
      </c>
      <c r="V97" s="22">
        <f t="shared" si="17"/>
        <v>2.3075962366729112</v>
      </c>
      <c r="W97" s="22">
        <f t="shared" si="17"/>
        <v>2.14949055790201</v>
      </c>
      <c r="X97" s="22">
        <f t="shared" si="17"/>
        <v>2.007368090402065</v>
      </c>
      <c r="Y97" s="22">
        <f t="shared" si="17"/>
        <v>1.8788416988778733</v>
      </c>
      <c r="Z97" s="22">
        <f t="shared" si="17"/>
        <v>1.76198376443145</v>
      </c>
      <c r="AA97" s="22">
        <f t="shared" si="17"/>
        <v>1.6552248895393948</v>
      </c>
      <c r="AB97" s="22">
        <f t="shared" si="17"/>
        <v>1.5572768382139142</v>
      </c>
      <c r="AC97" s="22">
        <f t="shared" si="17"/>
        <v>1.4670735209944539</v>
      </c>
      <c r="AD97" s="22">
        <f t="shared" si="17"/>
        <v>1.3837255220996116</v>
      </c>
      <c r="AE97" s="22">
        <f t="shared" si="17"/>
        <v>1.306484858470796</v>
      </c>
      <c r="AF97" s="22">
        <f t="shared" si="17"/>
        <v>1.2347175162950415</v>
      </c>
      <c r="AG97" s="22">
        <f t="shared" si="17"/>
        <v>1.1678819322106246</v>
      </c>
    </row>
    <row r="99" spans="1:33" ht="15" customHeight="1" x14ac:dyDescent="0.3">
      <c r="A99" s="51" t="s">
        <v>185</v>
      </c>
      <c r="B99" s="57"/>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row>
    <row r="101" spans="1:33" ht="15" customHeight="1" x14ac:dyDescent="0.3">
      <c r="A101" s="9" t="s">
        <v>186</v>
      </c>
      <c r="D101" s="21">
        <f>0+D57</f>
        <v>-7.1669999999999998</v>
      </c>
      <c r="E101" s="21">
        <f t="shared" ref="E101:AG101" si="18">D101+E57</f>
        <v>-22.398</v>
      </c>
      <c r="F101" s="21">
        <f t="shared" si="18"/>
        <v>-40.070999999999998</v>
      </c>
      <c r="G101" s="21">
        <f t="shared" si="18"/>
        <v>-52.231583862003546</v>
      </c>
      <c r="H101" s="21">
        <f t="shared" si="18"/>
        <v>-75.99629177693717</v>
      </c>
      <c r="I101" s="21">
        <f t="shared" si="18"/>
        <v>-93.412059835664465</v>
      </c>
      <c r="J101" s="21">
        <f t="shared" si="18"/>
        <v>-107.47306296380825</v>
      </c>
      <c r="K101" s="21">
        <f t="shared" si="18"/>
        <v>-119.53350022103037</v>
      </c>
      <c r="L101" s="21">
        <f t="shared" si="18"/>
        <v>-130.50368564682222</v>
      </c>
      <c r="M101" s="21">
        <f t="shared" si="18"/>
        <v>-140.32873335615409</v>
      </c>
      <c r="N101" s="21">
        <f t="shared" si="18"/>
        <v>-149.82215206719283</v>
      </c>
      <c r="O101" s="21">
        <f t="shared" si="18"/>
        <v>-158.96838415503296</v>
      </c>
      <c r="P101" s="21">
        <f t="shared" si="18"/>
        <v>-167.81572996188424</v>
      </c>
      <c r="Q101" s="21">
        <f t="shared" si="18"/>
        <v>-176.59768022080664</v>
      </c>
      <c r="R101" s="21">
        <f t="shared" si="18"/>
        <v>-185.3126000431019</v>
      </c>
      <c r="S101" s="21">
        <f t="shared" si="18"/>
        <v>-193.95881366785437</v>
      </c>
      <c r="T101" s="21">
        <f t="shared" si="18"/>
        <v>-202.53460344012549</v>
      </c>
      <c r="U101" s="21">
        <f t="shared" si="18"/>
        <v>-211.03820876360322</v>
      </c>
      <c r="V101" s="21">
        <f t="shared" si="18"/>
        <v>-219.46782502706768</v>
      </c>
      <c r="W101" s="21">
        <f t="shared" si="18"/>
        <v>-227.82160250401861</v>
      </c>
      <c r="X101" s="21">
        <f t="shared" si="18"/>
        <v>-236.09764522479313</v>
      </c>
      <c r="Y101" s="21">
        <f t="shared" si="18"/>
        <v>-244.29400982048682</v>
      </c>
      <c r="Z101" s="21">
        <f t="shared" si="18"/>
        <v>-252.40870433797267</v>
      </c>
      <c r="AA101" s="21">
        <f t="shared" si="18"/>
        <v>-260.43968702529548</v>
      </c>
      <c r="AB101" s="21">
        <f t="shared" si="18"/>
        <v>-268.52229136845625</v>
      </c>
      <c r="AC101" s="21">
        <f t="shared" si="18"/>
        <v>-271.00944548945256</v>
      </c>
      <c r="AD101" s="21">
        <f t="shared" si="18"/>
        <v>-267.9106538941183</v>
      </c>
      <c r="AE101" s="21">
        <f t="shared" si="18"/>
        <v>-264.762350959321</v>
      </c>
      <c r="AF101" s="21">
        <f t="shared" si="18"/>
        <v>-261.56144781706314</v>
      </c>
      <c r="AG101" s="21">
        <f t="shared" si="18"/>
        <v>-230.53495476398945</v>
      </c>
    </row>
    <row r="102" spans="1:33" ht="15" customHeight="1" x14ac:dyDescent="0.3">
      <c r="A102" s="9" t="s">
        <v>187</v>
      </c>
      <c r="D102" s="21">
        <f>0+D67</f>
        <v>-7.1669999999999998</v>
      </c>
      <c r="E102" s="21">
        <f t="shared" ref="E102:AG102" si="19">D102+E67</f>
        <v>-22.398</v>
      </c>
      <c r="F102" s="21">
        <f t="shared" si="19"/>
        <v>-40.070999999999998</v>
      </c>
      <c r="G102" s="21">
        <f t="shared" si="19"/>
        <v>-52.231583862003546</v>
      </c>
      <c r="H102" s="21">
        <f t="shared" si="19"/>
        <v>-42.311989062771687</v>
      </c>
      <c r="I102" s="21">
        <f t="shared" si="19"/>
        <v>-32.619344800310991</v>
      </c>
      <c r="J102" s="21">
        <f t="shared" si="19"/>
        <v>-23.4112005787598</v>
      </c>
      <c r="K102" s="21">
        <f t="shared" si="19"/>
        <v>-14.57419540113596</v>
      </c>
      <c r="L102" s="21">
        <f t="shared" si="19"/>
        <v>-6.0361601344467957</v>
      </c>
      <c r="M102" s="21">
        <f t="shared" si="19"/>
        <v>2.2510528701788139</v>
      </c>
      <c r="N102" s="21">
        <f t="shared" si="19"/>
        <v>10.320619694310643</v>
      </c>
      <c r="O102" s="21">
        <f t="shared" si="19"/>
        <v>18.195787911393097</v>
      </c>
      <c r="P102" s="21">
        <f t="shared" si="19"/>
        <v>25.892860063118142</v>
      </c>
      <c r="Q102" s="21">
        <f t="shared" si="19"/>
        <v>33.423062955959075</v>
      </c>
      <c r="R102" s="21">
        <f t="shared" si="19"/>
        <v>40.793778054050009</v>
      </c>
      <c r="S102" s="21">
        <f t="shared" si="19"/>
        <v>48.009382893271535</v>
      </c>
      <c r="T102" s="21">
        <f t="shared" si="19"/>
        <v>55.071842140590121</v>
      </c>
      <c r="U102" s="21">
        <f t="shared" si="19"/>
        <v>61.981129722442375</v>
      </c>
      <c r="V102" s="21">
        <f t="shared" si="19"/>
        <v>68.73553257279309</v>
      </c>
      <c r="W102" s="21">
        <f t="shared" si="19"/>
        <v>75.331868942682007</v>
      </c>
      <c r="X102" s="21">
        <f t="shared" si="19"/>
        <v>81.765643589090033</v>
      </c>
      <c r="Y102" s="21">
        <f t="shared" si="19"/>
        <v>88.031155410311243</v>
      </c>
      <c r="Z102" s="21">
        <f t="shared" si="19"/>
        <v>94.121568613701314</v>
      </c>
      <c r="AA102" s="21">
        <f t="shared" si="19"/>
        <v>100.02895542210779</v>
      </c>
      <c r="AB102" s="21">
        <f t="shared" si="19"/>
        <v>105.84738586386945</v>
      </c>
      <c r="AC102" s="21">
        <f t="shared" si="19"/>
        <v>117.3633667576749</v>
      </c>
      <c r="AD102" s="21">
        <f t="shared" si="19"/>
        <v>125.29215835300917</v>
      </c>
      <c r="AE102" s="21">
        <f t="shared" si="19"/>
        <v>133.27046128780648</v>
      </c>
      <c r="AF102" s="21">
        <f t="shared" si="19"/>
        <v>141.30136443006435</v>
      </c>
      <c r="AG102" s="21">
        <f t="shared" si="19"/>
        <v>215.79785748313805</v>
      </c>
    </row>
    <row r="103" spans="1:33" ht="15" customHeight="1" x14ac:dyDescent="0.3">
      <c r="A103" s="9" t="s">
        <v>188</v>
      </c>
      <c r="D103" s="21">
        <f>0+D67/(1+Assumptions!$B$98)^D3</f>
        <v>-6.3145374449339204</v>
      </c>
      <c r="E103" s="21">
        <f>D103+E67/(1+Assumptions!$B$98)^E3</f>
        <v>-18.137782607851889</v>
      </c>
      <c r="F103" s="21">
        <f>E103+F67/(1+Assumptions!$B$98)^F3</f>
        <v>-30.224898686279303</v>
      </c>
      <c r="G103" s="21">
        <f>F103+G67/(1+Assumptions!$B$98)^G3</f>
        <v>-37.552654369317445</v>
      </c>
      <c r="H103" s="21">
        <f>G103+H67/(1+Assumptions!$B$98)^H3</f>
        <v>-32.286244880453992</v>
      </c>
      <c r="I103" s="21">
        <f>H103+I67/(1+Assumptions!$B$98)^I3</f>
        <v>-27.752395331069568</v>
      </c>
      <c r="J103" s="21">
        <f>I103+J67/(1+Assumptions!$B$98)^J3</f>
        <v>-23.957488813854653</v>
      </c>
      <c r="K103" s="21">
        <f>J103+K67/(1+Assumptions!$B$98)^K3</f>
        <v>-20.748721557893756</v>
      </c>
      <c r="L103" s="21">
        <f>K103+L67/(1+Assumptions!$B$98)^L3</f>
        <v>-18.017259384455723</v>
      </c>
      <c r="M103" s="21">
        <f>L103+M67/(1+Assumptions!$B$98)^M3</f>
        <v>-15.681382837150633</v>
      </c>
      <c r="N103" s="21">
        <f>M103+N67/(1+Assumptions!$B$98)^N3</f>
        <v>-13.677391935200902</v>
      </c>
      <c r="O103" s="21">
        <f>N103+O67/(1+Assumptions!$B$98)^O3</f>
        <v>-11.95429582937561</v>
      </c>
      <c r="P103" s="21">
        <f>O103+P67/(1+Assumptions!$B$98)^P3</f>
        <v>-10.470482193773631</v>
      </c>
      <c r="Q103" s="21">
        <f>P103+Q67/(1+Assumptions!$B$98)^Q3</f>
        <v>-9.1914996515116059</v>
      </c>
      <c r="R103" s="21">
        <f>Q103+R67/(1+Assumptions!$B$98)^R3</f>
        <v>-8.0885093297897246</v>
      </c>
      <c r="S103" s="21">
        <f>R103+S67/(1+Assumptions!$B$98)^S3</f>
        <v>-7.1371623217103366</v>
      </c>
      <c r="T103" s="21">
        <f>S103+T67/(1+Assumptions!$B$98)^T3</f>
        <v>-6.316761080377395</v>
      </c>
      <c r="U103" s="21">
        <f>T103+U67/(1+Assumptions!$B$98)^U3</f>
        <v>-5.609617241329687</v>
      </c>
      <c r="V103" s="21">
        <f>U103+V67/(1+Assumptions!$B$98)^V3</f>
        <v>-5.0005495107281348</v>
      </c>
      <c r="W103" s="21">
        <f>V103+W67/(1+Assumptions!$B$98)^W3</f>
        <v>-4.4764840195093241</v>
      </c>
      <c r="X103" s="21">
        <f>W103+X67/(1+Assumptions!$B$98)^X3</f>
        <v>-4.0261313381494341</v>
      </c>
      <c r="Y103" s="21">
        <f>X103+Y67/(1+Assumptions!$B$98)^Y3</f>
        <v>-3.639722011713574</v>
      </c>
      <c r="Z103" s="21">
        <f>Y103+Z67/(1+Assumptions!$B$98)^Z3</f>
        <v>-3.308787589210032</v>
      </c>
      <c r="AA103" s="21">
        <f>Z103+AA67/(1+Assumptions!$B$98)^AA3</f>
        <v>-3.0259776085142289</v>
      </c>
      <c r="AB103" s="21">
        <f>AA103+AB67/(1+Assumptions!$B$98)^AB3</f>
        <v>-2.7805579719992193</v>
      </c>
      <c r="AC103" s="21">
        <f>AB103+AC67/(1+Assumptions!$B$98)^AC3</f>
        <v>-2.3525926930403207</v>
      </c>
      <c r="AD103" s="21">
        <f>AC103+AD67/(1+Assumptions!$B$98)^AD3</f>
        <v>-2.0929842924966473</v>
      </c>
      <c r="AE103" s="21">
        <f>AD103+AE67/(1+Assumptions!$B$98)^AE3</f>
        <v>-1.8628261205035226</v>
      </c>
      <c r="AF103" s="21">
        <f>AE103+AF67/(1+Assumptions!$B$98)^AF3</f>
        <v>-1.6587066637949284</v>
      </c>
      <c r="AG103" s="21">
        <f>AF103+AG67/(1+Assumptions!$B$98)^AG3</f>
        <v>9.5389159521286349E-3</v>
      </c>
    </row>
    <row r="105" spans="1:33" ht="15" customHeight="1" x14ac:dyDescent="0.3">
      <c r="A105" s="51" t="s">
        <v>378</v>
      </c>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row>
    <row r="107" spans="1:33" ht="15" customHeight="1" x14ac:dyDescent="0.3">
      <c r="A107" s="9" t="s">
        <v>189</v>
      </c>
      <c r="D107" s="15" t="str">
        <f>IF(OR(D3&lt;=Assumptions!$B$65,D3&gt;=(Assumptions!$B$65+Assumptions!$B$64),D19=0),"-",SUMPRODUCT(($D$3:$AG$3&gt;D3)*($D$3:$AG$3&lt;=(Assumptions!$B$65+Assumptions!$B$64))*$D$64:$AG$64/(1+(Assumptions!$B$63+Assumptions!$B$77/10000))^($D$3:$AG$3-D3))/D19)</f>
        <v>-</v>
      </c>
      <c r="E107" s="15" t="str">
        <f>IF(OR(E3&lt;=Assumptions!$B$65,E3&gt;=(Assumptions!$B$65+Assumptions!$B$64),E19=0),"-",SUMPRODUCT(($D$3:$AG$3&gt;E3)*($D$3:$AG$3&lt;=(Assumptions!$B$65+Assumptions!$B$64))*$D$64:$AG$64/(1+(Assumptions!$B$63+Assumptions!$B$77/10000))^($D$3:$AG$3-E3))/E19)</f>
        <v>-</v>
      </c>
      <c r="F107" s="15" t="str">
        <f>IF(OR(F3&lt;=Assumptions!$B$65,F3&gt;=(Assumptions!$B$65+Assumptions!$B$64),F19=0),"-",SUMPRODUCT(($D$3:$AG$3&gt;F3)*($D$3:$AG$3&lt;=(Assumptions!$B$65+Assumptions!$B$64))*$D$64:$AG$64/(1+(Assumptions!$B$63+Assumptions!$B$77/10000))^($D$3:$AG$3-F3))/F19)</f>
        <v>-</v>
      </c>
      <c r="G107" s="15" t="str">
        <f>IF(OR(G3&lt;=Assumptions!$B$65,G3&gt;=(Assumptions!$B$65+Assumptions!$B$64),G19=0),"-",SUMPRODUCT(($D$3:$AG$3&gt;G3)*($D$3:$AG$3&lt;=(Assumptions!$B$65+Assumptions!$B$64))*$D$64:$AG$64/(1+(Assumptions!$B$63+Assumptions!$B$77/10000))^($D$3:$AG$3-G3))/G19)</f>
        <v>-</v>
      </c>
      <c r="H107" s="15">
        <f>IF(OR(H3&lt;=Assumptions!$B$65,H3&gt;=(Assumptions!$B$65+Assumptions!$B$64),H19=0),"-",SUMPRODUCT(($D$3:$AG$3&gt;H3)*($D$3:$AG$3&lt;=(Assumptions!$B$65+Assumptions!$B$64))*$D$64:$AG$64/(1+(Assumptions!$B$63+Assumptions!$B$77/10000))^($D$3:$AG$3-H3))/H19)</f>
        <v>1.6459388963972716</v>
      </c>
      <c r="I107" s="15">
        <f>IF(OR(I3&lt;=Assumptions!$B$65,I3&gt;=(Assumptions!$B$65+Assumptions!$B$64),I19=0),"-",SUMPRODUCT(($D$3:$AG$3&gt;I3)*($D$3:$AG$3&lt;=(Assumptions!$B$65+Assumptions!$B$64))*$D$64:$AG$64/(1+(Assumptions!$B$63+Assumptions!$B$77/10000))^($D$3:$AG$3-I3))/I19)</f>
        <v>1.6272521007809937</v>
      </c>
      <c r="J107" s="15">
        <f>IF(OR(J3&lt;=Assumptions!$B$65,J3&gt;=(Assumptions!$B$65+Assumptions!$B$64),J19=0),"-",SUMPRODUCT(($D$3:$AG$3&gt;J3)*($D$3:$AG$3&lt;=(Assumptions!$B$65+Assumptions!$B$64))*$D$64:$AG$64/(1+(Assumptions!$B$63+Assumptions!$B$77/10000))^($D$3:$AG$3-J3))/J19)</f>
        <v>1.6104049092748798</v>
      </c>
      <c r="K107" s="15">
        <f>IF(OR(K3&lt;=Assumptions!$B$65,K3&gt;=(Assumptions!$B$65+Assumptions!$B$64),K19=0),"-",SUMPRODUCT(($D$3:$AG$3&gt;K3)*($D$3:$AG$3&lt;=(Assumptions!$B$65+Assumptions!$B$64))*$D$64:$AG$64/(1+(Assumptions!$B$63+Assumptions!$B$77/10000))^($D$3:$AG$3-K3))/K19)</f>
        <v>1.5946675381258117</v>
      </c>
      <c r="L107" s="15">
        <f>IF(OR(L3&lt;=Assumptions!$B$65,L3&gt;=(Assumptions!$B$65+Assumptions!$B$64),L19=0),"-",SUMPRODUCT(($D$3:$AG$3&gt;L3)*($D$3:$AG$3&lt;=(Assumptions!$B$65+Assumptions!$B$64))*$D$64:$AG$64/(1+(Assumptions!$B$63+Assumptions!$B$77/10000))^($D$3:$AG$3-L3))/L19)</f>
        <v>1.5795472149214518</v>
      </c>
      <c r="M107" s="15">
        <f>IF(OR(M3&lt;=Assumptions!$B$65,M3&gt;=(Assumptions!$B$65+Assumptions!$B$64),M19=0),"-",SUMPRODUCT(($D$3:$AG$3&gt;M3)*($D$3:$AG$3&lt;=(Assumptions!$B$65+Assumptions!$B$64))*$D$64:$AG$64/(1+(Assumptions!$B$63+Assumptions!$B$77/10000))^($D$3:$AG$3-M3))/M19)</f>
        <v>1.5646777425688845</v>
      </c>
      <c r="N107" s="15">
        <f>IF(OR(N3&lt;=Assumptions!$B$65,N3&gt;=(Assumptions!$B$65+Assumptions!$B$64),N19=0),"-",SUMPRODUCT(($D$3:$AG$3&gt;N3)*($D$3:$AG$3&lt;=(Assumptions!$B$65+Assumptions!$B$64))*$D$64:$AG$64/(1+(Assumptions!$B$63+Assumptions!$B$77/10000))^($D$3:$AG$3-N3))/N19)</f>
        <v>1.5497591442071537</v>
      </c>
      <c r="O107" s="15">
        <f>IF(OR(O3&lt;=Assumptions!$B$65,O3&gt;=(Assumptions!$B$65+Assumptions!$B$64),O19=0),"-",SUMPRODUCT(($D$3:$AG$3&gt;O3)*($D$3:$AG$3&lt;=(Assumptions!$B$65+Assumptions!$B$64))*$D$64:$AG$64/(1+(Assumptions!$B$63+Assumptions!$B$77/10000))^($D$3:$AG$3-O3))/O19)</f>
        <v>1.5345207106026753</v>
      </c>
      <c r="P107" s="15">
        <f>IF(OR(P3&lt;=Assumptions!$B$65,P3&gt;=(Assumptions!$B$65+Assumptions!$B$64),P19=0),"-",SUMPRODUCT(($D$3:$AG$3&gt;P3)*($D$3:$AG$3&lt;=(Assumptions!$B$65+Assumptions!$B$64))*$D$64:$AG$64/(1+(Assumptions!$B$63+Assumptions!$B$77/10000))^($D$3:$AG$3-P3))/P19)</f>
        <v>1.5186941591754859</v>
      </c>
      <c r="Q107" s="15">
        <f>IF(OR(Q3&lt;=Assumptions!$B$65,Q3&gt;=(Assumptions!$B$65+Assumptions!$B$64),Q19=0),"-",SUMPRODUCT(($D$3:$AG$3&gt;Q3)*($D$3:$AG$3&lt;=(Assumptions!$B$65+Assumptions!$B$64))*$D$64:$AG$64/(1+(Assumptions!$B$63+Assumptions!$B$77/10000))^($D$3:$AG$3-Q3))/Q19)</f>
        <v>1.501989435790926</v>
      </c>
      <c r="R107" s="15">
        <f>IF(OR(R3&lt;=Assumptions!$B$65,R3&gt;=(Assumptions!$B$65+Assumptions!$B$64),R19=0),"-",SUMPRODUCT(($D$3:$AG$3&gt;R3)*($D$3:$AG$3&lt;=(Assumptions!$B$65+Assumptions!$B$64))*$D$64:$AG$64/(1+(Assumptions!$B$63+Assumptions!$B$77/10000))^($D$3:$AG$3-R3))/R19)</f>
        <v>1.4840677182595261</v>
      </c>
      <c r="S107" s="15">
        <f>IF(OR(S3&lt;=Assumptions!$B$65,S3&gt;=(Assumptions!$B$65+Assumptions!$B$64),S19=0),"-",SUMPRODUCT(($D$3:$AG$3&gt;S3)*($D$3:$AG$3&lt;=(Assumptions!$B$65+Assumptions!$B$64))*$D$64:$AG$64/(1+(Assumptions!$B$63+Assumptions!$B$77/10000))^($D$3:$AG$3-S3))/S19)</f>
        <v>1.464505844699697</v>
      </c>
      <c r="T107" s="15">
        <f>IF(OR(T3&lt;=Assumptions!$B$65,T3&gt;=(Assumptions!$B$65+Assumptions!$B$64),T19=0),"-",SUMPRODUCT(($D$3:$AG$3&gt;T3)*($D$3:$AG$3&lt;=(Assumptions!$B$65+Assumptions!$B$64))*$D$64:$AG$64/(1+(Assumptions!$B$63+Assumptions!$B$77/10000))^($D$3:$AG$3-T3))/T19)</f>
        <v>1.4427437225976429</v>
      </c>
      <c r="U107" s="15">
        <f>IF(OR(U3&lt;=Assumptions!$B$65,U3&gt;=(Assumptions!$B$65+Assumptions!$B$64),U19=0),"-",SUMPRODUCT(($D$3:$AG$3&gt;U3)*($D$3:$AG$3&lt;=(Assumptions!$B$65+Assumptions!$B$64))*$D$64:$AG$64/(1+(Assumptions!$B$63+Assumptions!$B$77/10000))^($D$3:$AG$3-U3))/U19)</f>
        <v>1.4179998828686453</v>
      </c>
      <c r="V107" s="15">
        <f>IF(OR(V3&lt;=Assumptions!$B$65,V3&gt;=(Assumptions!$B$65+Assumptions!$B$64),V19=0),"-",SUMPRODUCT(($D$3:$AG$3&gt;V3)*($D$3:$AG$3&lt;=(Assumptions!$B$65+Assumptions!$B$64))*$D$64:$AG$64/(1+(Assumptions!$B$63+Assumptions!$B$77/10000))^($D$3:$AG$3-V3))/V19)</f>
        <v>1.3891261864908673</v>
      </c>
      <c r="W107" s="15">
        <f>IF(OR(W3&lt;=Assumptions!$B$65,W3&gt;=(Assumptions!$B$65+Assumptions!$B$64),W19=0),"-",SUMPRODUCT(($D$3:$AG$3&gt;W3)*($D$3:$AG$3&lt;=(Assumptions!$B$65+Assumptions!$B$64))*$D$64:$AG$64/(1+(Assumptions!$B$63+Assumptions!$B$77/10000))^($D$3:$AG$3-W3))/W19)</f>
        <v>1.3543400023167049</v>
      </c>
      <c r="X107" s="15">
        <f>IF(OR(X3&lt;=Assumptions!$B$65,X3&gt;=(Assumptions!$B$65+Assumptions!$B$64),X19=0),"-",SUMPRODUCT(($D$3:$AG$3&gt;X3)*($D$3:$AG$3&lt;=(Assumptions!$B$65+Assumptions!$B$64))*$D$64:$AG$64/(1+(Assumptions!$B$63+Assumptions!$B$77/10000))^($D$3:$AG$3-X3))/X19)</f>
        <v>1.3106902480133444</v>
      </c>
      <c r="Y107" s="15">
        <f>IF(OR(Y3&lt;=Assumptions!$B$65,Y3&gt;=(Assumptions!$B$65+Assumptions!$B$64),Y19=0),"-",SUMPRODUCT(($D$3:$AG$3&gt;Y3)*($D$3:$AG$3&lt;=(Assumptions!$B$65+Assumptions!$B$64))*$D$64:$AG$64/(1+(Assumptions!$B$63+Assumptions!$B$77/10000))^($D$3:$AG$3-Y3))/Y19)</f>
        <v>1.2528841542738833</v>
      </c>
      <c r="Z107" s="15">
        <f>IF(OR(Z3&lt;=Assumptions!$B$65,Z3&gt;=(Assumptions!$B$65+Assumptions!$B$64),Z19=0),"-",SUMPRODUCT(($D$3:$AG$3&gt;Z3)*($D$3:$AG$3&lt;=(Assumptions!$B$65+Assumptions!$B$64))*$D$64:$AG$64/(1+(Assumptions!$B$63+Assumptions!$B$77/10000))^($D$3:$AG$3-Z3))/Z19)</f>
        <v>1.1703555325293282</v>
      </c>
      <c r="AA107" s="15">
        <f>IF(OR(AA3&lt;=Assumptions!$B$65,AA3&gt;=(Assumptions!$B$65+Assumptions!$B$64),AA19=0),"-",SUMPRODUCT(($D$3:$AG$3&gt;AA3)*($D$3:$AG$3&lt;=(Assumptions!$B$65+Assumptions!$B$64))*$D$64:$AG$64/(1+(Assumptions!$B$63+Assumptions!$B$77/10000))^($D$3:$AG$3-AA3))/AA19)</f>
        <v>1.0384709223955289</v>
      </c>
      <c r="AB107" s="15">
        <f>IF(OR(AB3&lt;=Assumptions!$B$65,AB3&gt;=(Assumptions!$B$65+Assumptions!$B$64),AB19=0),"-",SUMPRODUCT(($D$3:$AG$3&gt;AB3)*($D$3:$AG$3&lt;=(Assumptions!$B$65+Assumptions!$B$64))*$D$64:$AG$64/(1+(Assumptions!$B$63+Assumptions!$B$77/10000))^($D$3:$AG$3-AB3))/AB19)</f>
        <v>0.77837031956793368</v>
      </c>
      <c r="AC107" s="15" t="str">
        <f>IF(OR(AC3&lt;=Assumptions!$B$65,AC3&gt;=(Assumptions!$B$65+Assumptions!$B$64),AC19=0),"-",SUMPRODUCT(($D$3:$AG$3&gt;AC3)*($D$3:$AG$3&lt;=(Assumptions!$B$65+Assumptions!$B$64))*$D$64:$AG$64/(1+(Assumptions!$B$63+Assumptions!$B$77/10000))^($D$3:$AG$3-AC3))/AC19)</f>
        <v>-</v>
      </c>
      <c r="AD107" s="15" t="str">
        <f>IF(OR(AD3&lt;=Assumptions!$B$65,AD3&gt;=(Assumptions!$B$65+Assumptions!$B$64),AD19=0),"-",SUMPRODUCT(($D$3:$AG$3&gt;AD3)*($D$3:$AG$3&lt;=(Assumptions!$B$65+Assumptions!$B$64))*$D$64:$AG$64/(1+(Assumptions!$B$63+Assumptions!$B$77/10000))^($D$3:$AG$3-AD3))/AD19)</f>
        <v>-</v>
      </c>
      <c r="AE107" s="15" t="str">
        <f>IF(OR(AE3&lt;=Assumptions!$B$65,AE3&gt;=(Assumptions!$B$65+Assumptions!$B$64),AE19=0),"-",SUMPRODUCT(($D$3:$AG$3&gt;AE3)*($D$3:$AG$3&lt;=(Assumptions!$B$65+Assumptions!$B$64))*$D$64:$AG$64/(1+(Assumptions!$B$63+Assumptions!$B$77/10000))^($D$3:$AG$3-AE3))/AE19)</f>
        <v>-</v>
      </c>
      <c r="AF107" s="15" t="str">
        <f>IF(OR(AF3&lt;=Assumptions!$B$65,AF3&gt;=(Assumptions!$B$65+Assumptions!$B$64),AF19=0),"-",SUMPRODUCT(($D$3:$AG$3&gt;AF3)*($D$3:$AG$3&lt;=(Assumptions!$B$65+Assumptions!$B$64))*$D$64:$AG$64/(1+(Assumptions!$B$63+Assumptions!$B$77/10000))^($D$3:$AG$3-AF3))/AF19)</f>
        <v>-</v>
      </c>
      <c r="AG107" s="15" t="str">
        <f>IF(OR(AG3&lt;=Assumptions!$B$65,AG3&gt;=(Assumptions!$B$65+Assumptions!$B$64),AG19=0),"-",SUMPRODUCT(($D$3:$AG$3&gt;AG3)*($D$3:$AG$3&lt;=(Assumptions!$B$65+Assumptions!$B$64))*$D$64:$AG$64/(1+(Assumptions!$B$63+Assumptions!$B$77/10000))^($D$3:$AG$3-AG3))/AG19)</f>
        <v>-</v>
      </c>
    </row>
    <row r="108" spans="1:33" ht="15" customHeight="1" x14ac:dyDescent="0.3">
      <c r="A108" s="9" t="s">
        <v>190</v>
      </c>
      <c r="D108" s="15" t="str">
        <f>IF(OR(D3&lt;=Assumptions!$B$65,D3&gt;=(Assumptions!$B$65+Assumptions!$B$64),D19=0),"-",SUMPRODUCT(($D$3:$AG$3&gt;D3)*$D$64:$AG$64/(1+(Assumptions!$B$63+Assumptions!$B$77/10000))^($D$3:$AG$3-D3))/D19)</f>
        <v>-</v>
      </c>
      <c r="E108" s="15" t="str">
        <f>IF(OR(E3&lt;=Assumptions!$B$65,E3&gt;=(Assumptions!$B$65+Assumptions!$B$64),E19=0),"-",SUMPRODUCT(($D$3:$AG$3&gt;E3)*$D$64:$AG$64/(1+(Assumptions!$B$63+Assumptions!$B$77/10000))^($D$3:$AG$3-E3))/E19)</f>
        <v>-</v>
      </c>
      <c r="F108" s="15" t="str">
        <f>IF(OR(F3&lt;=Assumptions!$B$65,F3&gt;=(Assumptions!$B$65+Assumptions!$B$64),F19=0),"-",SUMPRODUCT(($D$3:$AG$3&gt;F3)*$D$64:$AG$64/(1+(Assumptions!$B$63+Assumptions!$B$77/10000))^($D$3:$AG$3-F3))/F19)</f>
        <v>-</v>
      </c>
      <c r="G108" s="15" t="str">
        <f>IF(OR(G3&lt;=Assumptions!$B$65,G3&gt;=(Assumptions!$B$65+Assumptions!$B$64),G19=0),"-",SUMPRODUCT(($D$3:$AG$3&gt;G3)*$D$64:$AG$64/(1+(Assumptions!$B$63+Assumptions!$B$77/10000))^($D$3:$AG$3-G3))/G19)</f>
        <v>-</v>
      </c>
      <c r="H108" s="15">
        <f>IF(OR(H3&lt;=Assumptions!$B$65,H3&gt;=(Assumptions!$B$65+Assumptions!$B$64),H19=0),"-",SUMPRODUCT(($D$3:$AG$3&gt;H3)*$D$64:$AG$64/(1+(Assumptions!$B$63+Assumptions!$B$77/10000))^($D$3:$AG$3-H3))/H19)</f>
        <v>1.7011212201466419</v>
      </c>
      <c r="I108" s="15">
        <f>IF(OR(I3&lt;=Assumptions!$B$65,I3&gt;=(Assumptions!$B$65+Assumptions!$B$64),I19=0),"-",SUMPRODUCT(($D$3:$AG$3&gt;I3)*$D$64:$AG$64/(1+(Assumptions!$B$63+Assumptions!$B$77/10000))^($D$3:$AG$3-I3))/I19)</f>
        <v>1.6876004576546468</v>
      </c>
      <c r="J108" s="15">
        <f>IF(OR(J3&lt;=Assumptions!$B$65,J3&gt;=(Assumptions!$B$65+Assumptions!$B$64),J19=0),"-",SUMPRODUCT(($D$3:$AG$3&gt;J3)*$D$64:$AG$64/(1+(Assumptions!$B$63+Assumptions!$B$77/10000))^($D$3:$AG$3-J3))/J19)</f>
        <v>1.6765290259111256</v>
      </c>
      <c r="K108" s="15">
        <f>IF(OR(K3&lt;=Assumptions!$B$65,K3&gt;=(Assumptions!$B$65+Assumptions!$B$64),K19=0),"-",SUMPRODUCT(($D$3:$AG$3&gt;K3)*$D$64:$AG$64/(1+(Assumptions!$B$63+Assumptions!$B$77/10000))^($D$3:$AG$3-K3))/K19)</f>
        <v>1.6672752920163869</v>
      </c>
      <c r="L108" s="15">
        <f>IF(OR(L3&lt;=Assumptions!$B$65,L3&gt;=(Assumptions!$B$65+Assumptions!$B$64),L19=0),"-",SUMPRODUCT(($D$3:$AG$3&gt;L3)*$D$64:$AG$64/(1+(Assumptions!$B$63+Assumptions!$B$77/10000))^($D$3:$AG$3-L3))/L19)</f>
        <v>1.6594663909482275</v>
      </c>
      <c r="M108" s="15">
        <f>IF(OR(M3&lt;=Assumptions!$B$65,M3&gt;=(Assumptions!$B$65+Assumptions!$B$64),M19=0),"-",SUMPRODUCT(($D$3:$AG$3&gt;M3)*$D$64:$AG$64/(1+(Assumptions!$B$63+Assumptions!$B$77/10000))^($D$3:$AG$3-M3))/M19)</f>
        <v>1.6528841828814849</v>
      </c>
      <c r="N108" s="15">
        <f>IF(OR(N3&lt;=Assumptions!$B$65,N3&gt;=(Assumptions!$B$65+Assumptions!$B$64),N19=0),"-",SUMPRODUCT(($D$3:$AG$3&gt;N3)*$D$64:$AG$64/(1+(Assumptions!$B$63+Assumptions!$B$77/10000))^($D$3:$AG$3-N3))/N19)</f>
        <v>1.6474136889999773</v>
      </c>
      <c r="O108" s="15">
        <f>IF(OR(O3&lt;=Assumptions!$B$65,O3&gt;=(Assumptions!$B$65+Assumptions!$B$64),O19=0),"-",SUMPRODUCT(($D$3:$AG$3&gt;O3)*$D$64:$AG$64/(1+(Assumptions!$B$63+Assumptions!$B$77/10000))^($D$3:$AG$3-O3))/O19)</f>
        <v>1.6430184462430917</v>
      </c>
      <c r="P108" s="15">
        <f>IF(OR(P3&lt;=Assumptions!$B$65,P3&gt;=(Assumptions!$B$65+Assumptions!$B$64),P19=0),"-",SUMPRODUCT(($D$3:$AG$3&gt;P3)*$D$64:$AG$64/(1+(Assumptions!$B$63+Assumptions!$B$77/10000))^($D$3:$AG$3-P3))/P19)</f>
        <v>1.6397312483964053</v>
      </c>
      <c r="Q108" s="15">
        <f>IF(OR(Q3&lt;=Assumptions!$B$65,Q3&gt;=(Assumptions!$B$65+Assumptions!$B$64),Q19=0),"-",SUMPRODUCT(($D$3:$AG$3&gt;Q3)*$D$64:$AG$64/(1+(Assumptions!$B$63+Assumptions!$B$77/10000))^($D$3:$AG$3-Q3))/Q19)</f>
        <v>1.637655644929719</v>
      </c>
      <c r="R108" s="15">
        <f>IF(OR(R3&lt;=Assumptions!$B$65,R3&gt;=(Assumptions!$B$65+Assumptions!$B$64),R19=0),"-",SUMPRODUCT(($D$3:$AG$3&gt;R3)*$D$64:$AG$64/(1+(Assumptions!$B$63+Assumptions!$B$77/10000))^($D$3:$AG$3-R3))/R19)</f>
        <v>1.6369774903065542</v>
      </c>
      <c r="S108" s="15">
        <f>IF(OR(S3&lt;=Assumptions!$B$65,S3&gt;=(Assumptions!$B$65+Assumptions!$B$64),S19=0),"-",SUMPRODUCT(($D$3:$AG$3&gt;S3)*$D$64:$AG$64/(1+(Assumptions!$B$63+Assumptions!$B$77/10000))^($D$3:$AG$3-S3))/S19)</f>
        <v>1.637988943450617</v>
      </c>
      <c r="T108" s="15">
        <f>IF(OR(T3&lt;=Assumptions!$B$65,T3&gt;=(Assumptions!$B$65+Assumptions!$B$64),T19=0),"-",SUMPRODUCT(($D$3:$AG$3&gt;T3)*$D$64:$AG$64/(1+(Assumptions!$B$63+Assumptions!$B$77/10000))^($D$3:$AG$3-T3))/T19)</f>
        <v>1.6411311909583923</v>
      </c>
      <c r="U108" s="15">
        <f>IF(OR(U3&lt;=Assumptions!$B$65,U3&gt;=(Assumptions!$B$65+Assumptions!$B$64),U19=0),"-",SUMPRODUCT(($D$3:$AG$3&gt;U3)*$D$64:$AG$64/(1+(Assumptions!$B$63+Assumptions!$B$77/10000))^($D$3:$AG$3-U3))/U19)</f>
        <v>1.6470688585639515</v>
      </c>
      <c r="V108" s="15">
        <f>IF(OR(V3&lt;=Assumptions!$B$65,V3&gt;=(Assumptions!$B$65+Assumptions!$B$64),V19=0),"-",SUMPRODUCT(($D$3:$AG$3&gt;V3)*$D$64:$AG$64/(1+(Assumptions!$B$63+Assumptions!$B$77/10000))^($D$3:$AG$3-V3))/V19)</f>
        <v>1.6568227188287323</v>
      </c>
      <c r="W108" s="15">
        <f>IF(OR(W3&lt;=Assumptions!$B$65,W3&gt;=(Assumptions!$B$65+Assumptions!$B$64),W19=0),"-",SUMPRODUCT(($D$3:$AG$3&gt;W3)*$D$64:$AG$64/(1+(Assumptions!$B$63+Assumptions!$B$77/10000))^($D$3:$AG$3-W3))/W19)</f>
        <v>1.6720181573759239</v>
      </c>
      <c r="X108" s="15">
        <f>IF(OR(X3&lt;=Assumptions!$B$65,X3&gt;=(Assumptions!$B$65+Assumptions!$B$64),X19=0),"-",SUMPRODUCT(($D$3:$AG$3&gt;X3)*$D$64:$AG$64/(1+(Assumptions!$B$63+Assumptions!$B$77/10000))^($D$3:$AG$3-X3))/X19)</f>
        <v>1.6953837916174221</v>
      </c>
      <c r="Y108" s="15">
        <f>IF(OR(Y3&lt;=Assumptions!$B$65,Y3&gt;=(Assumptions!$B$65+Assumptions!$B$64),Y19=0),"-",SUMPRODUCT(($D$3:$AG$3&gt;Y3)*$D$64:$AG$64/(1+(Assumptions!$B$63+Assumptions!$B$77/10000))^($D$3:$AG$3-Y3))/Y19)</f>
        <v>1.7318499072989841</v>
      </c>
      <c r="Z108" s="15">
        <f>IF(OR(Z3&lt;=Assumptions!$B$65,Z3&gt;=(Assumptions!$B$65+Assumptions!$B$64),Z19=0),"-",SUMPRODUCT(($D$3:$AG$3&gt;Z3)*$D$64:$AG$64/(1+(Assumptions!$B$63+Assumptions!$B$77/10000))^($D$3:$AG$3-Z3))/Z19)</f>
        <v>1.7912959086380977</v>
      </c>
      <c r="AA108" s="15">
        <f>IF(OR(AA3&lt;=Assumptions!$B$65,AA3&gt;=(Assumptions!$B$65+Assumptions!$B$64),AA19=0),"-",SUMPRODUCT(($D$3:$AG$3&gt;AA3)*$D$64:$AG$64/(1+(Assumptions!$B$63+Assumptions!$B$77/10000))^($D$3:$AG$3-AA3))/AA19)</f>
        <v>1.8967940152713809</v>
      </c>
      <c r="AB108" s="15">
        <f>IF(OR(AB3&lt;=Assumptions!$B$65,AB3&gt;=(Assumptions!$B$65+Assumptions!$B$64),AB19=0),"-",SUMPRODUCT(($D$3:$AG$3&gt;AB3)*$D$64:$AG$64/(1+(Assumptions!$B$63+Assumptions!$B$77/10000))^($D$3:$AG$3-AB3))/AB19)</f>
        <v>2.1126001916175126</v>
      </c>
      <c r="AC108" s="15" t="str">
        <f>IF(OR(AC3&lt;=Assumptions!$B$65,AC3&gt;=(Assumptions!$B$65+Assumptions!$B$64),AC19=0),"-",SUMPRODUCT(($D$3:$AG$3&gt;AC3)*$D$64:$AG$64/(1+(Assumptions!$B$63+Assumptions!$B$77/10000))^($D$3:$AG$3-AC3))/AC19)</f>
        <v>-</v>
      </c>
      <c r="AD108" s="15" t="str">
        <f>IF(OR(AD3&lt;=Assumptions!$B$65,AD3&gt;=(Assumptions!$B$65+Assumptions!$B$64),AD19=0),"-",SUMPRODUCT(($D$3:$AG$3&gt;AD3)*$D$64:$AG$64/(1+(Assumptions!$B$63+Assumptions!$B$77/10000))^($D$3:$AG$3-AD3))/AD19)</f>
        <v>-</v>
      </c>
      <c r="AE108" s="15" t="str">
        <f>IF(OR(AE3&lt;=Assumptions!$B$65,AE3&gt;=(Assumptions!$B$65+Assumptions!$B$64),AE19=0),"-",SUMPRODUCT(($D$3:$AG$3&gt;AE3)*$D$64:$AG$64/(1+(Assumptions!$B$63+Assumptions!$B$77/10000))^($D$3:$AG$3-AE3))/AE19)</f>
        <v>-</v>
      </c>
      <c r="AF108" s="15" t="str">
        <f>IF(OR(AF3&lt;=Assumptions!$B$65,AF3&gt;=(Assumptions!$B$65+Assumptions!$B$64),AF19=0),"-",SUMPRODUCT(($D$3:$AG$3&gt;AF3)*$D$64:$AG$64/(1+(Assumptions!$B$63+Assumptions!$B$77/10000))^($D$3:$AG$3-AF3))/AF19)</f>
        <v>-</v>
      </c>
      <c r="AG108" s="15" t="str">
        <f>IF(OR(AG3&lt;=Assumptions!$B$65,AG3&gt;=(Assumptions!$B$65+Assumptions!$B$64),AG19=0),"-",SUMPRODUCT(($D$3:$AG$3&gt;AG3)*$D$64:$AG$64/(1+(Assumptions!$B$63+Assumptions!$B$77/10000))^($D$3:$AG$3-AG3))/AG19)</f>
        <v>-</v>
      </c>
    </row>
    <row r="110" spans="1:33" ht="15" customHeight="1" x14ac:dyDescent="0.3">
      <c r="A110" s="51" t="s">
        <v>191</v>
      </c>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row>
    <row r="112" spans="1:33" ht="15" customHeight="1" x14ac:dyDescent="0.3">
      <c r="A112" s="9" t="s">
        <v>192</v>
      </c>
      <c r="D112" s="21">
        <f>IF(D3&gt;Assumptions!$B$65,Assumptions!$B$109*D48,0)</f>
        <v>0</v>
      </c>
      <c r="E112" s="21">
        <f>IF(E3&gt;Assumptions!$B$65,Assumptions!$B$109*E48,0)</f>
        <v>0</v>
      </c>
      <c r="F112" s="21">
        <f>IF(F3&gt;Assumptions!$B$65,Assumptions!$B$109*F48,0)</f>
        <v>0</v>
      </c>
      <c r="G112" s="21">
        <f>IF(G3&gt;Assumptions!$B$65,Assumptions!$B$109*G48,0)</f>
        <v>0</v>
      </c>
      <c r="H112" s="21">
        <f>IF(H3&gt;Assumptions!$B$65,Assumptions!$B$109*H48,0)</f>
        <v>1.8295698662109374</v>
      </c>
      <c r="I112" s="21">
        <f>IF(I3&gt;Assumptions!$B$65,Assumptions!$B$109*I48,0)</f>
        <v>1.8753091128662107</v>
      </c>
      <c r="J112" s="21">
        <f>IF(J3&gt;Assumptions!$B$65,Assumptions!$B$109*J48,0)</f>
        <v>1.9221918406878657</v>
      </c>
      <c r="K112" s="21">
        <f>IF(K3&gt;Assumptions!$B$65,Assumptions!$B$109*K48,0)</f>
        <v>1.9702466367050624</v>
      </c>
      <c r="L112" s="21">
        <f>IF(L3&gt;Assumptions!$B$65,Assumptions!$B$109*L48,0)</f>
        <v>2.0195028026226884</v>
      </c>
      <c r="M112" s="21">
        <f>IF(M3&gt;Assumptions!$B$65,Assumptions!$B$109*M48,0)</f>
        <v>2.0699903726882556</v>
      </c>
      <c r="N112" s="21">
        <f>IF(N3&gt;Assumptions!$B$65,Assumptions!$B$109*N48,0)</f>
        <v>2.1217401320054625</v>
      </c>
      <c r="O112" s="21">
        <f>IF(O3&gt;Assumptions!$B$65,Assumptions!$B$109*O48,0)</f>
        <v>2.1747836353055985</v>
      </c>
      <c r="P112" s="21">
        <f>IF(P3&gt;Assumptions!$B$65,Assumptions!$B$109*P48,0)</f>
        <v>2.2291532261882381</v>
      </c>
      <c r="Q112" s="21">
        <f>IF(Q3&gt;Assumptions!$B$65,Assumptions!$B$109*Q48,0)</f>
        <v>2.2848820568429438</v>
      </c>
      <c r="R112" s="21">
        <f>IF(R3&gt;Assumptions!$B$65,Assumptions!$B$109*R48,0)</f>
        <v>2.3420041082640175</v>
      </c>
      <c r="S112" s="21">
        <f>IF(S3&gt;Assumptions!$B$65,Assumptions!$B$109*S48,0)</f>
        <v>2.4005542109706184</v>
      </c>
      <c r="T112" s="21">
        <f>IF(T3&gt;Assumptions!$B$65,Assumptions!$B$109*T48,0)</f>
        <v>2.4605680662448837</v>
      </c>
      <c r="U112" s="21">
        <f>IF(U3&gt;Assumptions!$B$65,Assumptions!$B$109*U48,0)</f>
        <v>2.5220822679010055</v>
      </c>
      <c r="V112" s="21">
        <f>IF(V3&gt;Assumptions!$B$65,Assumptions!$B$109*V48,0)</f>
        <v>2.5851343245985299</v>
      </c>
      <c r="W112" s="21">
        <f>IF(W3&gt;Assumptions!$B$65,Assumptions!$B$109*W48,0)</f>
        <v>2.6497626827134941</v>
      </c>
      <c r="X112" s="21">
        <f>IF(X3&gt;Assumptions!$B$65,Assumptions!$B$109*X48,0)</f>
        <v>2.7160067497813309</v>
      </c>
      <c r="Y112" s="21">
        <f>IF(Y3&gt;Assumptions!$B$65,Assumptions!$B$109*Y48,0)</f>
        <v>2.7839069185258634</v>
      </c>
      <c r="Z112" s="21">
        <f>IF(Z3&gt;Assumptions!$B$65,Assumptions!$B$109*Z48,0)</f>
        <v>2.8535045914890098</v>
      </c>
      <c r="AA112" s="21">
        <f>IF(AA3&gt;Assumptions!$B$65,Assumptions!$B$109*AA48,0)</f>
        <v>2.9248422062762356</v>
      </c>
      <c r="AB112" s="21">
        <f>IF(AB3&gt;Assumptions!$B$65,Assumptions!$B$109*AB48,0)</f>
        <v>2.9979632614331408</v>
      </c>
      <c r="AC112" s="21">
        <f>IF(AC3&gt;Assumptions!$B$65,Assumptions!$B$109*AC48,0)</f>
        <v>3.0729123429689693</v>
      </c>
      <c r="AD112" s="21">
        <f>IF(AD3&gt;Assumptions!$B$65,Assumptions!$B$109*AD48,0)</f>
        <v>3.1497351515431933</v>
      </c>
      <c r="AE112" s="21">
        <f>IF(AE3&gt;Assumptions!$B$65,Assumptions!$B$109*AE48,0)</f>
        <v>3.2284785303317727</v>
      </c>
      <c r="AF112" s="21">
        <f>IF(AF3&gt;Assumptions!$B$65,Assumptions!$B$109*AF48,0)</f>
        <v>3.3091904935900676</v>
      </c>
      <c r="AG112" s="21">
        <v>0</v>
      </c>
    </row>
    <row r="113" spans="1:33" ht="15" customHeight="1" x14ac:dyDescent="0.3">
      <c r="A113" s="9" t="s">
        <v>193</v>
      </c>
      <c r="D113" s="21">
        <f>-(D112-0)</f>
        <v>0</v>
      </c>
      <c r="E113" s="21">
        <f t="shared" ref="E113:AG113" si="20">-(E112-D112)</f>
        <v>0</v>
      </c>
      <c r="F113" s="21">
        <f t="shared" si="20"/>
        <v>0</v>
      </c>
      <c r="G113" s="21">
        <f t="shared" si="20"/>
        <v>0</v>
      </c>
      <c r="H113" s="21">
        <f t="shared" si="20"/>
        <v>-1.8295698662109374</v>
      </c>
      <c r="I113" s="21">
        <f t="shared" si="20"/>
        <v>-4.5739246655273291E-2</v>
      </c>
      <c r="J113" s="21">
        <f t="shared" si="20"/>
        <v>-4.6882727821655035E-2</v>
      </c>
      <c r="K113" s="21">
        <f t="shared" si="20"/>
        <v>-4.8054796017196644E-2</v>
      </c>
      <c r="L113" s="21">
        <f t="shared" si="20"/>
        <v>-4.9256165917626049E-2</v>
      </c>
      <c r="M113" s="21">
        <f t="shared" si="20"/>
        <v>-5.0487570065567144E-2</v>
      </c>
      <c r="N113" s="21">
        <f t="shared" si="20"/>
        <v>-5.1749759317206934E-2</v>
      </c>
      <c r="O113" s="21">
        <f t="shared" si="20"/>
        <v>-5.3043503300135963E-2</v>
      </c>
      <c r="P113" s="21">
        <f t="shared" si="20"/>
        <v>-5.4369590882639596E-2</v>
      </c>
      <c r="Q113" s="21">
        <f t="shared" si="20"/>
        <v>-5.5728830654705686E-2</v>
      </c>
      <c r="R113" s="21">
        <f t="shared" si="20"/>
        <v>-5.7122051421073738E-2</v>
      </c>
      <c r="S113" s="21">
        <f t="shared" si="20"/>
        <v>-5.8550102706600882E-2</v>
      </c>
      <c r="T113" s="21">
        <f t="shared" si="20"/>
        <v>-6.0013855274265282E-2</v>
      </c>
      <c r="U113" s="21">
        <f t="shared" si="20"/>
        <v>-6.151420165612187E-2</v>
      </c>
      <c r="V113" s="21">
        <f t="shared" si="20"/>
        <v>-6.3052056697524339E-2</v>
      </c>
      <c r="W113" s="21">
        <f t="shared" si="20"/>
        <v>-6.4628358114964257E-2</v>
      </c>
      <c r="X113" s="21">
        <f t="shared" si="20"/>
        <v>-6.6244067067836809E-2</v>
      </c>
      <c r="Y113" s="21">
        <f t="shared" si="20"/>
        <v>-6.7900168744532419E-2</v>
      </c>
      <c r="Z113" s="21">
        <f t="shared" si="20"/>
        <v>-6.9597672963146451E-2</v>
      </c>
      <c r="AA113" s="21">
        <f t="shared" si="20"/>
        <v>-7.1337614787225778E-2</v>
      </c>
      <c r="AB113" s="21">
        <f t="shared" si="20"/>
        <v>-7.3121055156905257E-2</v>
      </c>
      <c r="AC113" s="21">
        <f t="shared" si="20"/>
        <v>-7.4949081535828466E-2</v>
      </c>
      <c r="AD113" s="21">
        <f t="shared" si="20"/>
        <v>-7.6822808574223966E-2</v>
      </c>
      <c r="AE113" s="21">
        <f t="shared" si="20"/>
        <v>-7.8743378788579399E-2</v>
      </c>
      <c r="AF113" s="21">
        <f t="shared" si="20"/>
        <v>-8.0711963258294883E-2</v>
      </c>
      <c r="AG113" s="21">
        <f t="shared" si="20"/>
        <v>3.3091904935900676</v>
      </c>
    </row>
    <row r="114" spans="1:33" ht="15" customHeight="1" x14ac:dyDescent="0.3">
      <c r="A114" s="9" t="s">
        <v>194</v>
      </c>
      <c r="D114" s="21">
        <f>Assumptions!$B$108/12*H23</f>
        <v>5.7315838620035482</v>
      </c>
      <c r="E114" s="21">
        <f>Assumptions!$B$108/12*H23</f>
        <v>5.7315838620035482</v>
      </c>
      <c r="F114" s="21">
        <f>Assumptions!$B$108/12*H23</f>
        <v>5.7315838620035482</v>
      </c>
      <c r="G114" s="21">
        <f>Assumptions!$B$108/12*H23</f>
        <v>5.7315838620035482</v>
      </c>
      <c r="H114" s="21">
        <f>Assumptions!$B$108/12*H23</f>
        <v>5.7315838620035482</v>
      </c>
      <c r="I114" s="21">
        <f>Assumptions!$B$108/12*H23</f>
        <v>5.7315838620035482</v>
      </c>
      <c r="J114" s="21">
        <f>Assumptions!$B$108/12*H23</f>
        <v>5.7315838620035482</v>
      </c>
      <c r="K114" s="21">
        <f>Assumptions!$B$108/12*H23</f>
        <v>5.7315838620035482</v>
      </c>
      <c r="L114" s="21">
        <f>Assumptions!$B$108/12*H23</f>
        <v>5.7315838620035482</v>
      </c>
      <c r="M114" s="21">
        <f>Assumptions!$B$108/12*H23</f>
        <v>5.7315838620035482</v>
      </c>
      <c r="N114" s="21">
        <f>Assumptions!$B$108/12*H23</f>
        <v>5.7315838620035482</v>
      </c>
      <c r="O114" s="21">
        <f>Assumptions!$B$108/12*H23</f>
        <v>5.7315838620035482</v>
      </c>
      <c r="P114" s="21">
        <f>Assumptions!$B$108/12*H23</f>
        <v>5.7315838620035482</v>
      </c>
      <c r="Q114" s="21">
        <f>Assumptions!$B$108/12*H23</f>
        <v>5.7315838620035482</v>
      </c>
      <c r="R114" s="21">
        <f>Assumptions!$B$108/12*H23</f>
        <v>5.7315838620035482</v>
      </c>
      <c r="S114" s="21">
        <f>Assumptions!$B$108/12*H23</f>
        <v>5.7315838620035482</v>
      </c>
      <c r="T114" s="21">
        <f>Assumptions!$B$108/12*H23</f>
        <v>5.7315838620035482</v>
      </c>
      <c r="U114" s="21">
        <f>Assumptions!$B$108/12*H23</f>
        <v>5.7315838620035482</v>
      </c>
      <c r="V114" s="21">
        <f>Assumptions!$B$108/12*H23</f>
        <v>5.7315838620035482</v>
      </c>
      <c r="W114" s="21">
        <f>Assumptions!$B$108/12*H23</f>
        <v>5.7315838620035482</v>
      </c>
      <c r="X114" s="21">
        <f>Assumptions!$B$108/12*H23</f>
        <v>5.7315838620035482</v>
      </c>
      <c r="Y114" s="21">
        <f>Assumptions!$B$108/12*H23</f>
        <v>5.7315838620035482</v>
      </c>
      <c r="Z114" s="21">
        <f>Assumptions!$B$108/12*H23</f>
        <v>5.7315838620035482</v>
      </c>
      <c r="AA114" s="21">
        <f>Assumptions!$B$108/12*H23</f>
        <v>5.7315838620035482</v>
      </c>
      <c r="AB114" s="21">
        <f>Assumptions!$B$108/12*H23</f>
        <v>5.7315838620035482</v>
      </c>
      <c r="AC114" s="21">
        <f>Assumptions!$B$108/12*H23</f>
        <v>5.7315838620035482</v>
      </c>
      <c r="AD114" s="21">
        <f>Assumptions!$B$108/12*H23</f>
        <v>5.7315838620035482</v>
      </c>
      <c r="AE114" s="21">
        <f>Assumptions!$B$108/12*H23</f>
        <v>5.7315838620035482</v>
      </c>
      <c r="AF114" s="21">
        <f>Assumptions!$B$108/12*H23</f>
        <v>5.7315838620035482</v>
      </c>
      <c r="AG114" s="21">
        <f>Assumptions!$B$108/12*H23</f>
        <v>5.7315838620035482</v>
      </c>
    </row>
    <row r="115" spans="1:33" ht="15" customHeight="1" x14ac:dyDescent="0.3">
      <c r="A115" s="9" t="s">
        <v>195</v>
      </c>
      <c r="D115" s="21">
        <f>IF(D3=4,-D114,IF(D3=Assumptions!$B$65+Assumptions!$B$64,D114,0))</f>
        <v>0</v>
      </c>
      <c r="E115" s="21">
        <f>IF(E3=4,-E114,IF(E3=Assumptions!$B$65+Assumptions!$B$64,E114,0))</f>
        <v>0</v>
      </c>
      <c r="F115" s="21">
        <f>IF(F3=4,-F114,IF(F3=Assumptions!$B$65+Assumptions!$B$64,F114,0))</f>
        <v>0</v>
      </c>
      <c r="G115" s="21">
        <f>IF(G3=4,-G114,IF(G3=Assumptions!$B$65+Assumptions!$B$64,G114,0))</f>
        <v>-5.7315838620035482</v>
      </c>
      <c r="H115" s="21">
        <f>IF(H3=4,-H114,IF(H3=Assumptions!$B$65+Assumptions!$B$64,H114,0))</f>
        <v>0</v>
      </c>
      <c r="I115" s="21">
        <f>IF(I3=4,-I114,IF(I3=Assumptions!$B$65+Assumptions!$B$64,I114,0))</f>
        <v>0</v>
      </c>
      <c r="J115" s="21">
        <f>IF(J3=4,-J114,IF(J3=Assumptions!$B$65+Assumptions!$B$64,J114,0))</f>
        <v>0</v>
      </c>
      <c r="K115" s="21">
        <f>IF(K3=4,-K114,IF(K3=Assumptions!$B$65+Assumptions!$B$64,K114,0))</f>
        <v>0</v>
      </c>
      <c r="L115" s="21">
        <f>IF(L3=4,-L114,IF(L3=Assumptions!$B$65+Assumptions!$B$64,L114,0))</f>
        <v>0</v>
      </c>
      <c r="M115" s="21">
        <f>IF(M3=4,-M114,IF(M3=Assumptions!$B$65+Assumptions!$B$64,M114,0))</f>
        <v>0</v>
      </c>
      <c r="N115" s="21">
        <f>IF(N3=4,-N114,IF(N3=Assumptions!$B$65+Assumptions!$B$64,N114,0))</f>
        <v>0</v>
      </c>
      <c r="O115" s="21">
        <f>IF(O3=4,-O114,IF(O3=Assumptions!$B$65+Assumptions!$B$64,O114,0))</f>
        <v>0</v>
      </c>
      <c r="P115" s="21">
        <f>IF(P3=4,-P114,IF(P3=Assumptions!$B$65+Assumptions!$B$64,P114,0))</f>
        <v>0</v>
      </c>
      <c r="Q115" s="21">
        <f>IF(Q3=4,-Q114,IF(Q3=Assumptions!$B$65+Assumptions!$B$64,Q114,0))</f>
        <v>0</v>
      </c>
      <c r="R115" s="21">
        <f>IF(R3=4,-R114,IF(R3=Assumptions!$B$65+Assumptions!$B$64,R114,0))</f>
        <v>0</v>
      </c>
      <c r="S115" s="21">
        <f>IF(S3=4,-S114,IF(S3=Assumptions!$B$65+Assumptions!$B$64,S114,0))</f>
        <v>0</v>
      </c>
      <c r="T115" s="21">
        <f>IF(T3=4,-T114,IF(T3=Assumptions!$B$65+Assumptions!$B$64,T114,0))</f>
        <v>0</v>
      </c>
      <c r="U115" s="21">
        <f>IF(U3=4,-U114,IF(U3=Assumptions!$B$65+Assumptions!$B$64,U114,0))</f>
        <v>0</v>
      </c>
      <c r="V115" s="21">
        <f>IF(V3=4,-V114,IF(V3=Assumptions!$B$65+Assumptions!$B$64,V114,0))</f>
        <v>0</v>
      </c>
      <c r="W115" s="21">
        <f>IF(W3=4,-W114,IF(W3=Assumptions!$B$65+Assumptions!$B$64,W114,0))</f>
        <v>0</v>
      </c>
      <c r="X115" s="21">
        <f>IF(X3=4,-X114,IF(X3=Assumptions!$B$65+Assumptions!$B$64,X114,0))</f>
        <v>0</v>
      </c>
      <c r="Y115" s="21">
        <f>IF(Y3=4,-Y114,IF(Y3=Assumptions!$B$65+Assumptions!$B$64,Y114,0))</f>
        <v>0</v>
      </c>
      <c r="Z115" s="21">
        <f>IF(Z3=4,-Z114,IF(Z3=Assumptions!$B$65+Assumptions!$B$64,Z114,0))</f>
        <v>0</v>
      </c>
      <c r="AA115" s="21">
        <f>IF(AA3=4,-AA114,IF(AA3=Assumptions!$B$65+Assumptions!$B$64,AA114,0))</f>
        <v>0</v>
      </c>
      <c r="AB115" s="21">
        <f>IF(AB3=4,-AB114,IF(AB3=Assumptions!$B$65+Assumptions!$B$64,AB114,0))</f>
        <v>0</v>
      </c>
      <c r="AC115" s="21">
        <f>IF(AC3=4,-AC114,IF(AC3=Assumptions!$B$65+Assumptions!$B$64,AC114,0))</f>
        <v>5.7315838620035482</v>
      </c>
      <c r="AD115" s="21">
        <f>IF(AD3=4,-AD114,IF(AD3=Assumptions!$B$65+Assumptions!$B$64,AD114,0))</f>
        <v>0</v>
      </c>
      <c r="AE115" s="21">
        <f>IF(AE3=4,-AE114,IF(AE3=Assumptions!$B$65+Assumptions!$B$64,AE114,0))</f>
        <v>0</v>
      </c>
      <c r="AF115" s="21">
        <f>IF(AF3=4,-AF114,IF(AF3=Assumptions!$B$65+Assumptions!$B$64,AF114,0))</f>
        <v>0</v>
      </c>
      <c r="AG115" s="21">
        <f>IF(AG3=4,-AG114,IF(AG3=Assumptions!$B$65+Assumptions!$B$64,AG114,0))</f>
        <v>0</v>
      </c>
    </row>
    <row r="116" spans="1:33" ht="15" customHeight="1" x14ac:dyDescent="0.3">
      <c r="A116" s="9" t="s">
        <v>196</v>
      </c>
      <c r="D116" s="21">
        <f>IF(D3=30,Assumptions!$B$110*D52,0)</f>
        <v>0</v>
      </c>
      <c r="E116" s="21">
        <f>IF(E3=30,Assumptions!$B$110*E52,0)</f>
        <v>0</v>
      </c>
      <c r="F116" s="21">
        <f>IF(F3=30,Assumptions!$B$110*F52,0)</f>
        <v>0</v>
      </c>
      <c r="G116" s="21">
        <f>IF(G3=30,Assumptions!$B$110*G52,0)</f>
        <v>0</v>
      </c>
      <c r="H116" s="21">
        <f>IF(H3=30,Assumptions!$B$110*H52,0)</f>
        <v>0</v>
      </c>
      <c r="I116" s="21">
        <f>IF(I3=30,Assumptions!$B$110*I52,0)</f>
        <v>0</v>
      </c>
      <c r="J116" s="21">
        <f>IF(J3=30,Assumptions!$B$110*J52,0)</f>
        <v>0</v>
      </c>
      <c r="K116" s="21">
        <f>IF(K3=30,Assumptions!$B$110*K52,0)</f>
        <v>0</v>
      </c>
      <c r="L116" s="21">
        <f>IF(L3=30,Assumptions!$B$110*L52,0)</f>
        <v>0</v>
      </c>
      <c r="M116" s="21">
        <f>IF(M3=30,Assumptions!$B$110*M52,0)</f>
        <v>0</v>
      </c>
      <c r="N116" s="21">
        <f>IF(N3=30,Assumptions!$B$110*N52,0)</f>
        <v>0</v>
      </c>
      <c r="O116" s="21">
        <f>IF(O3=30,Assumptions!$B$110*O52,0)</f>
        <v>0</v>
      </c>
      <c r="P116" s="21">
        <f>IF(P3=30,Assumptions!$B$110*P52,0)</f>
        <v>0</v>
      </c>
      <c r="Q116" s="21">
        <f>IF(Q3=30,Assumptions!$B$110*Q52,0)</f>
        <v>0</v>
      </c>
      <c r="R116" s="21">
        <f>IF(R3=30,Assumptions!$B$110*R52,0)</f>
        <v>0</v>
      </c>
      <c r="S116" s="21">
        <f>IF(S3=30,Assumptions!$B$110*S52,0)</f>
        <v>0</v>
      </c>
      <c r="T116" s="21">
        <f>IF(T3=30,Assumptions!$B$110*T52,0)</f>
        <v>0</v>
      </c>
      <c r="U116" s="21">
        <f>IF(U3=30,Assumptions!$B$110*U52,0)</f>
        <v>0</v>
      </c>
      <c r="V116" s="21">
        <f>IF(V3=30,Assumptions!$B$110*V52,0)</f>
        <v>0</v>
      </c>
      <c r="W116" s="21">
        <f>IF(W3=30,Assumptions!$B$110*W52,0)</f>
        <v>0</v>
      </c>
      <c r="X116" s="21">
        <f>IF(X3=30,Assumptions!$B$110*X52,0)</f>
        <v>0</v>
      </c>
      <c r="Y116" s="21">
        <f>IF(Y3=30,Assumptions!$B$110*Y52,0)</f>
        <v>0</v>
      </c>
      <c r="Z116" s="21">
        <f>IF(Z3=30,Assumptions!$B$110*Z52,0)</f>
        <v>0</v>
      </c>
      <c r="AA116" s="21">
        <f>IF(AA3=30,Assumptions!$B$110*AA52,0)</f>
        <v>0</v>
      </c>
      <c r="AB116" s="21">
        <f>IF(AB3=30,Assumptions!$B$110*AB52,0)</f>
        <v>0</v>
      </c>
      <c r="AC116" s="21">
        <f>IF(AC3=30,Assumptions!$B$110*AC52,0)</f>
        <v>0</v>
      </c>
      <c r="AD116" s="21">
        <f>IF(AD3=30,Assumptions!$B$110*AD52,0)</f>
        <v>0</v>
      </c>
      <c r="AE116" s="21">
        <f>IF(AE3=30,Assumptions!$B$110*AE52,0)</f>
        <v>0</v>
      </c>
      <c r="AF116" s="21">
        <f>IF(AF3=30,Assumptions!$B$110*AF52,0)</f>
        <v>0</v>
      </c>
      <c r="AG116" s="21">
        <f>IF(AG3=30,Assumptions!$B$110*AG52,0)</f>
        <v>24.378072956827538</v>
      </c>
    </row>
    <row r="117" spans="1:33" ht="15" customHeight="1" x14ac:dyDescent="0.3">
      <c r="A117" s="9" t="s">
        <v>197</v>
      </c>
      <c r="D117" s="21">
        <f>IF(D3=30,Assumptions!$B$110*D62,0)</f>
        <v>0</v>
      </c>
      <c r="E117" s="21">
        <f>IF(E3=30,Assumptions!$B$110*E62,0)</f>
        <v>0</v>
      </c>
      <c r="F117" s="21">
        <f>IF(F3=30,Assumptions!$B$110*F62,0)</f>
        <v>0</v>
      </c>
      <c r="G117" s="21">
        <f>IF(G3=30,Assumptions!$B$110*G62,0)</f>
        <v>0</v>
      </c>
      <c r="H117" s="21">
        <f>IF(H3=30,Assumptions!$B$110*H62,0)</f>
        <v>0</v>
      </c>
      <c r="I117" s="21">
        <f>IF(I3=30,Assumptions!$B$110*I62,0)</f>
        <v>0</v>
      </c>
      <c r="J117" s="21">
        <f>IF(J3=30,Assumptions!$B$110*J62,0)</f>
        <v>0</v>
      </c>
      <c r="K117" s="21">
        <f>IF(K3=30,Assumptions!$B$110*K62,0)</f>
        <v>0</v>
      </c>
      <c r="L117" s="21">
        <f>IF(L3=30,Assumptions!$B$110*L62,0)</f>
        <v>0</v>
      </c>
      <c r="M117" s="21">
        <f>IF(M3=30,Assumptions!$B$110*M62,0)</f>
        <v>0</v>
      </c>
      <c r="N117" s="21">
        <f>IF(N3=30,Assumptions!$B$110*N62,0)</f>
        <v>0</v>
      </c>
      <c r="O117" s="21">
        <f>IF(O3=30,Assumptions!$B$110*O62,0)</f>
        <v>0</v>
      </c>
      <c r="P117" s="21">
        <f>IF(P3=30,Assumptions!$B$110*P62,0)</f>
        <v>0</v>
      </c>
      <c r="Q117" s="21">
        <f>IF(Q3=30,Assumptions!$B$110*Q62,0)</f>
        <v>0</v>
      </c>
      <c r="R117" s="21">
        <f>IF(R3=30,Assumptions!$B$110*R62,0)</f>
        <v>0</v>
      </c>
      <c r="S117" s="21">
        <f>IF(S3=30,Assumptions!$B$110*S62,0)</f>
        <v>0</v>
      </c>
      <c r="T117" s="21">
        <f>IF(T3=30,Assumptions!$B$110*T62,0)</f>
        <v>0</v>
      </c>
      <c r="U117" s="21">
        <f>IF(U3=30,Assumptions!$B$110*U62,0)</f>
        <v>0</v>
      </c>
      <c r="V117" s="21">
        <f>IF(V3=30,Assumptions!$B$110*V62,0)</f>
        <v>0</v>
      </c>
      <c r="W117" s="21">
        <f>IF(W3=30,Assumptions!$B$110*W62,0)</f>
        <v>0</v>
      </c>
      <c r="X117" s="21">
        <f>IF(X3=30,Assumptions!$B$110*X62,0)</f>
        <v>0</v>
      </c>
      <c r="Y117" s="21">
        <f>IF(Y3=30,Assumptions!$B$110*Y62,0)</f>
        <v>0</v>
      </c>
      <c r="Z117" s="21">
        <f>IF(Z3=30,Assumptions!$B$110*Z62,0)</f>
        <v>0</v>
      </c>
      <c r="AA117" s="21">
        <f>IF(AA3=30,Assumptions!$B$110*AA62,0)</f>
        <v>0</v>
      </c>
      <c r="AB117" s="21">
        <f>IF(AB3=30,Assumptions!$B$110*AB62,0)</f>
        <v>0</v>
      </c>
      <c r="AC117" s="21">
        <f>IF(AC3=30,Assumptions!$B$110*AC62,0)</f>
        <v>0</v>
      </c>
      <c r="AD117" s="21">
        <f>IF(AD3=30,Assumptions!$B$110*AD62,0)</f>
        <v>0</v>
      </c>
      <c r="AE117" s="21">
        <f>IF(AE3=30,Assumptions!$B$110*AE62,0)</f>
        <v>0</v>
      </c>
      <c r="AF117" s="21">
        <f>IF(AF3=30,Assumptions!$B$110*AF62,0)</f>
        <v>0</v>
      </c>
      <c r="AG117" s="21">
        <f>IF(AG3=30,Assumptions!$B$110*AG62,0)</f>
        <v>63.018072956827524</v>
      </c>
    </row>
  </sheetData>
  <mergeCells count="1">
    <mergeCell ref="A1:N1"/>
  </mergeCells>
  <pageMargins left="0.3" right="0.3" top="0.5" bottom="0.5" header="0.2" footer="0.2"/>
  <pageSetup paperSize="9" fitToHeight="0" orientation="landscape" horizontalDpi="300" verticalDpi="300"/>
  <headerFooter>
    <oddHeader>&amp;CModel</oddHeader>
    <oddFooter>&amp;RPage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G18"/>
  <sheetViews>
    <sheetView showGridLines="0" zoomScaleNormal="100" workbookViewId="0">
      <pane xSplit="3" ySplit="6" topLeftCell="D7" activePane="bottomRight" state="frozen"/>
      <selection activeCell="A59" sqref="A59:F63"/>
      <selection pane="topRight" activeCell="A59" sqref="A59:F63"/>
      <selection pane="bottomLeft" activeCell="A59" sqref="A59:F63"/>
      <selection pane="bottomRight" activeCell="A59" sqref="A59:F63"/>
    </sheetView>
  </sheetViews>
  <sheetFormatPr defaultColWidth="8.6328125" defaultRowHeight="14" x14ac:dyDescent="0.3"/>
  <cols>
    <col min="1" max="1" width="32" style="9" customWidth="1"/>
    <col min="2" max="3" width="8.6328125" style="9"/>
    <col min="4" max="5" width="6.6328125" style="9" bestFit="1" customWidth="1"/>
    <col min="6" max="33" width="7.6328125" style="9" bestFit="1" customWidth="1"/>
    <col min="34" max="16384" width="8.6328125" style="9"/>
  </cols>
  <sheetData>
    <row r="1" spans="1:33" ht="17.25" customHeight="1" thickBot="1" x14ac:dyDescent="0.35">
      <c r="A1" s="90" t="s">
        <v>379</v>
      </c>
      <c r="B1" s="91"/>
      <c r="C1" s="91"/>
      <c r="D1" s="91"/>
      <c r="E1" s="91"/>
      <c r="F1" s="91"/>
      <c r="G1" s="91"/>
      <c r="H1" s="91"/>
      <c r="I1" s="91"/>
      <c r="J1" s="91"/>
      <c r="K1" s="91"/>
      <c r="L1" s="91"/>
      <c r="M1" s="91"/>
      <c r="N1" s="91"/>
      <c r="O1" s="91"/>
      <c r="P1" s="91"/>
      <c r="Q1" s="91"/>
      <c r="R1" s="92"/>
    </row>
    <row r="2" spans="1:33" ht="15" customHeight="1" x14ac:dyDescent="0.3">
      <c r="A2" s="60" t="s">
        <v>380</v>
      </c>
    </row>
    <row r="4" spans="1:33" ht="15" customHeight="1" x14ac:dyDescent="0.3">
      <c r="A4" s="13" t="s">
        <v>136</v>
      </c>
      <c r="D4" s="13">
        <f>Model!D3</f>
        <v>1</v>
      </c>
      <c r="E4" s="13">
        <f>Model!E3</f>
        <v>2</v>
      </c>
      <c r="F4" s="13">
        <f>Model!F3</f>
        <v>3</v>
      </c>
      <c r="G4" s="13">
        <f>Model!G3</f>
        <v>4</v>
      </c>
      <c r="H4" s="13">
        <f>Model!H3</f>
        <v>5</v>
      </c>
      <c r="I4" s="13">
        <f>Model!I3</f>
        <v>6</v>
      </c>
      <c r="J4" s="13">
        <f>Model!J3</f>
        <v>7</v>
      </c>
      <c r="K4" s="13">
        <f>Model!K3</f>
        <v>8</v>
      </c>
      <c r="L4" s="13">
        <f>Model!L3</f>
        <v>9</v>
      </c>
      <c r="M4" s="13">
        <f>Model!M3</f>
        <v>10</v>
      </c>
      <c r="N4" s="13">
        <f>Model!N3</f>
        <v>11</v>
      </c>
      <c r="O4" s="13">
        <f>Model!O3</f>
        <v>12</v>
      </c>
      <c r="P4" s="13">
        <f>Model!P3</f>
        <v>13</v>
      </c>
      <c r="Q4" s="13">
        <f>Model!Q3</f>
        <v>14</v>
      </c>
      <c r="R4" s="13">
        <f>Model!R3</f>
        <v>15</v>
      </c>
      <c r="S4" s="13">
        <f>Model!S3</f>
        <v>16</v>
      </c>
      <c r="T4" s="13">
        <f>Model!T3</f>
        <v>17</v>
      </c>
      <c r="U4" s="13">
        <f>Model!U3</f>
        <v>18</v>
      </c>
      <c r="V4" s="13">
        <f>Model!V3</f>
        <v>19</v>
      </c>
      <c r="W4" s="13">
        <f>Model!W3</f>
        <v>20</v>
      </c>
      <c r="X4" s="13">
        <f>Model!X3</f>
        <v>21</v>
      </c>
      <c r="Y4" s="13">
        <f>Model!Y3</f>
        <v>22</v>
      </c>
      <c r="Z4" s="13">
        <f>Model!Z3</f>
        <v>23</v>
      </c>
      <c r="AA4" s="13">
        <f>Model!AA3</f>
        <v>24</v>
      </c>
      <c r="AB4" s="13">
        <f>Model!AB3</f>
        <v>25</v>
      </c>
      <c r="AC4" s="13">
        <f>Model!AC3</f>
        <v>26</v>
      </c>
      <c r="AD4" s="13">
        <f>Model!AD3</f>
        <v>27</v>
      </c>
      <c r="AE4" s="13">
        <f>Model!AE3</f>
        <v>28</v>
      </c>
      <c r="AF4" s="13">
        <f>Model!AF3</f>
        <v>29</v>
      </c>
      <c r="AG4" s="13">
        <f>Model!AG3</f>
        <v>30</v>
      </c>
    </row>
    <row r="5" spans="1:33" ht="15" customHeight="1" x14ac:dyDescent="0.3">
      <c r="A5" s="13" t="s">
        <v>137</v>
      </c>
      <c r="D5" s="9">
        <f>Model!D4</f>
        <v>2027</v>
      </c>
      <c r="E5" s="9">
        <f>Model!E4</f>
        <v>2028</v>
      </c>
      <c r="F5" s="9">
        <f>Model!F4</f>
        <v>2029</v>
      </c>
      <c r="G5" s="9">
        <f>Model!G4</f>
        <v>2030</v>
      </c>
      <c r="H5" s="9">
        <f>Model!H4</f>
        <v>2031</v>
      </c>
      <c r="I5" s="9">
        <f>Model!I4</f>
        <v>2032</v>
      </c>
      <c r="J5" s="9">
        <f>Model!J4</f>
        <v>2033</v>
      </c>
      <c r="K5" s="9">
        <f>Model!K4</f>
        <v>2034</v>
      </c>
      <c r="L5" s="9">
        <f>Model!L4</f>
        <v>2035</v>
      </c>
      <c r="M5" s="9">
        <f>Model!M4</f>
        <v>2036</v>
      </c>
      <c r="N5" s="9">
        <f>Model!N4</f>
        <v>2037</v>
      </c>
      <c r="O5" s="9">
        <f>Model!O4</f>
        <v>2038</v>
      </c>
      <c r="P5" s="9">
        <f>Model!P4</f>
        <v>2039</v>
      </c>
      <c r="Q5" s="9">
        <f>Model!Q4</f>
        <v>2040</v>
      </c>
      <c r="R5" s="9">
        <f>Model!R4</f>
        <v>2041</v>
      </c>
      <c r="S5" s="9">
        <f>Model!S4</f>
        <v>2042</v>
      </c>
      <c r="T5" s="9">
        <f>Model!T4</f>
        <v>2043</v>
      </c>
      <c r="U5" s="9">
        <f>Model!U4</f>
        <v>2044</v>
      </c>
      <c r="V5" s="9">
        <f>Model!V4</f>
        <v>2045</v>
      </c>
      <c r="W5" s="9">
        <f>Model!W4</f>
        <v>2046</v>
      </c>
      <c r="X5" s="9">
        <f>Model!X4</f>
        <v>2047</v>
      </c>
      <c r="Y5" s="9">
        <f>Model!Y4</f>
        <v>2048</v>
      </c>
      <c r="Z5" s="9">
        <f>Model!Z4</f>
        <v>2049</v>
      </c>
      <c r="AA5" s="9">
        <f>Model!AA4</f>
        <v>2050</v>
      </c>
      <c r="AB5" s="9">
        <f>Model!AB4</f>
        <v>2051</v>
      </c>
      <c r="AC5" s="9">
        <f>Model!AC4</f>
        <v>2052</v>
      </c>
      <c r="AD5" s="9">
        <f>Model!AD4</f>
        <v>2053</v>
      </c>
      <c r="AE5" s="9">
        <f>Model!AE4</f>
        <v>2054</v>
      </c>
      <c r="AF5" s="9">
        <f>Model!AF4</f>
        <v>2055</v>
      </c>
      <c r="AG5" s="9">
        <f>Model!AG4</f>
        <v>2056</v>
      </c>
    </row>
    <row r="7" spans="1:33" ht="15" customHeight="1" x14ac:dyDescent="0.3">
      <c r="A7" s="9" t="s">
        <v>198</v>
      </c>
      <c r="D7" s="21">
        <f>Model!D40</f>
        <v>0</v>
      </c>
      <c r="E7" s="21">
        <f>Model!E40</f>
        <v>0</v>
      </c>
      <c r="F7" s="21">
        <f>Model!F40</f>
        <v>9.1562737492312483</v>
      </c>
      <c r="G7" s="21">
        <f>Model!G40</f>
        <v>21.137904224555168</v>
      </c>
      <c r="H7" s="21">
        <f>Model!H40</f>
        <v>26.119426999503148</v>
      </c>
      <c r="I7" s="21">
        <f>Model!I40</f>
        <v>31.599321169259284</v>
      </c>
      <c r="J7" s="21">
        <f>Model!J40</f>
        <v>35.892884137442287</v>
      </c>
      <c r="K7" s="21">
        <f>Model!K40</f>
        <v>38.855717996903422</v>
      </c>
      <c r="L7" s="21">
        <f>Model!L40</f>
        <v>40.93229451658663</v>
      </c>
      <c r="M7" s="21">
        <f>Model!M40</f>
        <v>43.088415038505921</v>
      </c>
      <c r="N7" s="21">
        <f>Model!N40</f>
        <v>44.456301412394801</v>
      </c>
      <c r="O7" s="21">
        <f>Model!O40</f>
        <v>45.865651845579059</v>
      </c>
      <c r="P7" s="21">
        <f>Model!P40</f>
        <v>47.253256031803218</v>
      </c>
      <c r="Q7" s="21">
        <f>Model!Q40</f>
        <v>48.434587432598292</v>
      </c>
      <c r="R7" s="21">
        <f>Model!R40</f>
        <v>49.64545211841326</v>
      </c>
      <c r="S7" s="21">
        <f>Model!S40</f>
        <v>50.886588421373581</v>
      </c>
      <c r="T7" s="21">
        <f>Model!T40</f>
        <v>52.158753131907922</v>
      </c>
      <c r="U7" s="21">
        <f>Model!U40</f>
        <v>53.462721960205613</v>
      </c>
      <c r="V7" s="21">
        <f>Model!V40</f>
        <v>54.799290009210758</v>
      </c>
      <c r="W7" s="21">
        <f>Model!W40</f>
        <v>56.169272259441016</v>
      </c>
      <c r="X7" s="21">
        <f>Model!X40</f>
        <v>57.57350406592704</v>
      </c>
      <c r="Y7" s="21">
        <f>Model!Y40</f>
        <v>59.012841667575209</v>
      </c>
      <c r="Z7" s="21">
        <f>Model!Z40</f>
        <v>60.488162709264586</v>
      </c>
      <c r="AA7" s="21">
        <f>Model!AA40</f>
        <v>62.000366776996209</v>
      </c>
      <c r="AB7" s="21">
        <f>Model!AB40</f>
        <v>63.55037594642112</v>
      </c>
      <c r="AC7" s="21">
        <f>Model!AC40</f>
        <v>65.139135345081627</v>
      </c>
      <c r="AD7" s="21">
        <f>Model!AD40</f>
        <v>66.767613728708653</v>
      </c>
      <c r="AE7" s="21">
        <f>Model!AE40</f>
        <v>68.436804071926375</v>
      </c>
      <c r="AF7" s="21">
        <f>Model!AF40</f>
        <v>70.147724173724541</v>
      </c>
      <c r="AG7" s="21">
        <f>Model!AG40</f>
        <v>71.90141727806764</v>
      </c>
    </row>
    <row r="8" spans="1:33" ht="15" customHeight="1" x14ac:dyDescent="0.3">
      <c r="A8" s="9" t="s">
        <v>199</v>
      </c>
      <c r="D8" s="21">
        <f>Model!D61</f>
        <v>0</v>
      </c>
      <c r="E8" s="21">
        <f>Model!E61</f>
        <v>0</v>
      </c>
      <c r="F8" s="21">
        <f>Model!F61</f>
        <v>0</v>
      </c>
      <c r="G8" s="21">
        <f>Model!G61</f>
        <v>0</v>
      </c>
      <c r="H8" s="21">
        <f>Model!H61</f>
        <v>34.216816618336118</v>
      </c>
      <c r="I8" s="21">
        <f>Model!I61</f>
        <v>27.867876762129786</v>
      </c>
      <c r="J8" s="21">
        <f>Model!J61</f>
        <v>24.513111831546265</v>
      </c>
      <c r="K8" s="21">
        <f>Model!K61</f>
        <v>22.5125459606246</v>
      </c>
      <c r="L8" s="21">
        <f>Model!L61</f>
        <v>21.422294129194341</v>
      </c>
      <c r="M8" s="21">
        <f>Model!M61</f>
        <v>20.277156412734339</v>
      </c>
      <c r="N8" s="21">
        <f>Model!N61</f>
        <v>19.945527414441234</v>
      </c>
      <c r="O8" s="21">
        <f>Model!O61</f>
        <v>19.598340791242627</v>
      </c>
      <c r="P8" s="21">
        <f>Model!P61</f>
        <v>19.299454510253764</v>
      </c>
      <c r="Q8" s="21">
        <f>Model!Q61</f>
        <v>19.234058962324873</v>
      </c>
      <c r="R8" s="21">
        <f>Model!R61</f>
        <v>19.167028525697745</v>
      </c>
      <c r="S8" s="21">
        <f>Model!S61</f>
        <v>19.098322328154961</v>
      </c>
      <c r="T8" s="21">
        <f>Model!T61</f>
        <v>19.027898475673599</v>
      </c>
      <c r="U8" s="21">
        <f>Model!U61</f>
        <v>18.955714026880202</v>
      </c>
      <c r="V8" s="21">
        <f>Model!V61</f>
        <v>18.881724966866944</v>
      </c>
      <c r="W8" s="21">
        <f>Model!W61</f>
        <v>18.805886180353411</v>
      </c>
      <c r="X8" s="21">
        <f>Model!X61</f>
        <v>18.728151424176996</v>
      </c>
      <c r="Y8" s="21">
        <f>Model!Y61</f>
        <v>18.648473299096171</v>
      </c>
      <c r="Z8" s="21">
        <f>Model!Z61</f>
        <v>18.566803220888339</v>
      </c>
      <c r="AA8" s="21">
        <f>Model!AA61</f>
        <v>18.483091390725306</v>
      </c>
      <c r="AB8" s="21">
        <f>Model!AB61</f>
        <v>18.534713046563276</v>
      </c>
      <c r="AC8" s="21">
        <f>Model!AC61</f>
        <v>18.670846686402331</v>
      </c>
      <c r="AD8" s="21">
        <f>Model!AD61</f>
        <v>6.44</v>
      </c>
      <c r="AE8" s="21">
        <f>Model!AE61</f>
        <v>6.44</v>
      </c>
      <c r="AF8" s="21">
        <f>Model!AF61</f>
        <v>6.44</v>
      </c>
      <c r="AG8" s="21">
        <f>Model!AG61</f>
        <v>6.44</v>
      </c>
    </row>
    <row r="9" spans="1:33" ht="15" customHeight="1" x14ac:dyDescent="0.3">
      <c r="A9" s="13" t="s">
        <v>200</v>
      </c>
      <c r="D9" s="22">
        <f t="shared" ref="D9:AG9" si="0">D7+D8</f>
        <v>0</v>
      </c>
      <c r="E9" s="22">
        <f t="shared" si="0"/>
        <v>0</v>
      </c>
      <c r="F9" s="22">
        <f t="shared" si="0"/>
        <v>9.1562737492312483</v>
      </c>
      <c r="G9" s="22">
        <f t="shared" si="0"/>
        <v>21.137904224555168</v>
      </c>
      <c r="H9" s="22">
        <f t="shared" si="0"/>
        <v>60.336243617839266</v>
      </c>
      <c r="I9" s="22">
        <f t="shared" si="0"/>
        <v>59.467197931389066</v>
      </c>
      <c r="J9" s="22">
        <f t="shared" si="0"/>
        <v>60.405995968988549</v>
      </c>
      <c r="K9" s="22">
        <f t="shared" si="0"/>
        <v>61.368263957528022</v>
      </c>
      <c r="L9" s="22">
        <f t="shared" si="0"/>
        <v>62.354588645780971</v>
      </c>
      <c r="M9" s="22">
        <f t="shared" si="0"/>
        <v>63.365571451240257</v>
      </c>
      <c r="N9" s="22">
        <f t="shared" si="0"/>
        <v>64.401828826836038</v>
      </c>
      <c r="O9" s="22">
        <f t="shared" si="0"/>
        <v>65.463992636821686</v>
      </c>
      <c r="P9" s="22">
        <f t="shared" si="0"/>
        <v>66.552710542056985</v>
      </c>
      <c r="Q9" s="22">
        <f t="shared" si="0"/>
        <v>67.668646394923172</v>
      </c>
      <c r="R9" s="22">
        <f t="shared" si="0"/>
        <v>68.812480644111005</v>
      </c>
      <c r="S9" s="22">
        <f t="shared" si="0"/>
        <v>69.984910749528538</v>
      </c>
      <c r="T9" s="22">
        <f t="shared" si="0"/>
        <v>71.186651607581524</v>
      </c>
      <c r="U9" s="22">
        <f t="shared" si="0"/>
        <v>72.418435987085815</v>
      </c>
      <c r="V9" s="22">
        <f t="shared" si="0"/>
        <v>73.681014976077705</v>
      </c>
      <c r="W9" s="22">
        <f t="shared" si="0"/>
        <v>74.975158439794427</v>
      </c>
      <c r="X9" s="22">
        <f t="shared" si="0"/>
        <v>76.301655490104039</v>
      </c>
      <c r="Y9" s="22">
        <f t="shared" si="0"/>
        <v>77.661314966671384</v>
      </c>
      <c r="Z9" s="22">
        <f t="shared" si="0"/>
        <v>79.054965930152918</v>
      </c>
      <c r="AA9" s="22">
        <f t="shared" si="0"/>
        <v>80.483458167721523</v>
      </c>
      <c r="AB9" s="22">
        <f t="shared" si="0"/>
        <v>82.085088992984396</v>
      </c>
      <c r="AC9" s="22">
        <f t="shared" si="0"/>
        <v>83.809982031483955</v>
      </c>
      <c r="AD9" s="22">
        <f t="shared" si="0"/>
        <v>73.207613728708651</v>
      </c>
      <c r="AE9" s="22">
        <f t="shared" si="0"/>
        <v>74.876804071926372</v>
      </c>
      <c r="AF9" s="22">
        <f t="shared" si="0"/>
        <v>76.587724173724538</v>
      </c>
      <c r="AG9" s="22">
        <f t="shared" si="0"/>
        <v>78.341417278067638</v>
      </c>
    </row>
    <row r="10" spans="1:33" ht="15" customHeight="1" x14ac:dyDescent="0.3">
      <c r="A10" s="9" t="s">
        <v>201</v>
      </c>
      <c r="D10" s="21">
        <f>-Model!D48</f>
        <v>0</v>
      </c>
      <c r="E10" s="21">
        <f>-Model!E48</f>
        <v>0</v>
      </c>
      <c r="F10" s="21">
        <f>-Model!F48</f>
        <v>-15.339124999999997</v>
      </c>
      <c r="G10" s="21">
        <f>-Model!G48</f>
        <v>-35.698924218749994</v>
      </c>
      <c r="H10" s="21">
        <f>-Model!H48</f>
        <v>-36.591397324218747</v>
      </c>
      <c r="I10" s="21">
        <f>-Model!I48</f>
        <v>-37.506182257324213</v>
      </c>
      <c r="J10" s="21">
        <f>-Model!J48</f>
        <v>-38.443836813757315</v>
      </c>
      <c r="K10" s="21">
        <f>-Model!K48</f>
        <v>-39.404932734101244</v>
      </c>
      <c r="L10" s="21">
        <f>-Model!L48</f>
        <v>-40.390056052453765</v>
      </c>
      <c r="M10" s="21">
        <f>-Model!M48</f>
        <v>-41.399807453765114</v>
      </c>
      <c r="N10" s="21">
        <f>-Model!N48</f>
        <v>-42.434802640109247</v>
      </c>
      <c r="O10" s="21">
        <f>-Model!O48</f>
        <v>-43.495672706111968</v>
      </c>
      <c r="P10" s="21">
        <f>-Model!P48</f>
        <v>-44.583064523764762</v>
      </c>
      <c r="Q10" s="21">
        <f>-Model!Q48</f>
        <v>-45.697641136858877</v>
      </c>
      <c r="R10" s="21">
        <f>-Model!R48</f>
        <v>-46.84008216528035</v>
      </c>
      <c r="S10" s="21">
        <f>-Model!S48</f>
        <v>-48.011084219412361</v>
      </c>
      <c r="T10" s="21">
        <f>-Model!T48</f>
        <v>-49.211361324897673</v>
      </c>
      <c r="U10" s="21">
        <f>-Model!U48</f>
        <v>-50.441645358020111</v>
      </c>
      <c r="V10" s="21">
        <f>-Model!V48</f>
        <v>-51.702686491970596</v>
      </c>
      <c r="W10" s="21">
        <f>-Model!W48</f>
        <v>-52.995253654269881</v>
      </c>
      <c r="X10" s="21">
        <f>-Model!X48</f>
        <v>-54.320134995626617</v>
      </c>
      <c r="Y10" s="21">
        <f>-Model!Y48</f>
        <v>-55.678138370517267</v>
      </c>
      <c r="Z10" s="21">
        <f>-Model!Z48</f>
        <v>-57.070091829780196</v>
      </c>
      <c r="AA10" s="21">
        <f>-Model!AA48</f>
        <v>-58.49684412552471</v>
      </c>
      <c r="AB10" s="21">
        <f>-Model!AB48</f>
        <v>-59.959265228662815</v>
      </c>
      <c r="AC10" s="21">
        <f>-Model!AC48</f>
        <v>-61.458246859379379</v>
      </c>
      <c r="AD10" s="21">
        <f>-Model!AD48</f>
        <v>-62.99470303086386</v>
      </c>
      <c r="AE10" s="21">
        <f>-Model!AE48</f>
        <v>-64.569570606635452</v>
      </c>
      <c r="AF10" s="21">
        <f>-Model!AF48</f>
        <v>-66.183809871801344</v>
      </c>
      <c r="AG10" s="21">
        <f>-Model!AG48</f>
        <v>-67.838405118596384</v>
      </c>
    </row>
    <row r="11" spans="1:33" ht="15" customHeight="1" x14ac:dyDescent="0.3">
      <c r="A11" s="13" t="s">
        <v>173</v>
      </c>
      <c r="D11" s="22">
        <f t="shared" ref="D11:AG11" si="1">D9+D10</f>
        <v>0</v>
      </c>
      <c r="E11" s="22">
        <f t="shared" si="1"/>
        <v>0</v>
      </c>
      <c r="F11" s="22">
        <f t="shared" si="1"/>
        <v>-6.1828512507687492</v>
      </c>
      <c r="G11" s="22">
        <f t="shared" si="1"/>
        <v>-14.561019994194826</v>
      </c>
      <c r="H11" s="22">
        <f t="shared" si="1"/>
        <v>23.744846293620519</v>
      </c>
      <c r="I11" s="22">
        <f t="shared" si="1"/>
        <v>21.961015674064853</v>
      </c>
      <c r="J11" s="22">
        <f t="shared" si="1"/>
        <v>21.962159155231234</v>
      </c>
      <c r="K11" s="22">
        <f t="shared" si="1"/>
        <v>21.963331223426778</v>
      </c>
      <c r="L11" s="22">
        <f t="shared" si="1"/>
        <v>21.964532593327206</v>
      </c>
      <c r="M11" s="22">
        <f t="shared" si="1"/>
        <v>21.965763997475143</v>
      </c>
      <c r="N11" s="22">
        <f t="shared" si="1"/>
        <v>21.967026186726791</v>
      </c>
      <c r="O11" s="22">
        <f t="shared" si="1"/>
        <v>21.968319930709718</v>
      </c>
      <c r="P11" s="22">
        <f t="shared" si="1"/>
        <v>21.969646018292224</v>
      </c>
      <c r="Q11" s="22">
        <f t="shared" si="1"/>
        <v>21.971005258064295</v>
      </c>
      <c r="R11" s="22">
        <f t="shared" si="1"/>
        <v>21.972398478830655</v>
      </c>
      <c r="S11" s="22">
        <f t="shared" si="1"/>
        <v>21.973826530116177</v>
      </c>
      <c r="T11" s="22">
        <f t="shared" si="1"/>
        <v>21.975290282683851</v>
      </c>
      <c r="U11" s="22">
        <f t="shared" si="1"/>
        <v>21.976790629065704</v>
      </c>
      <c r="V11" s="22">
        <f t="shared" si="1"/>
        <v>21.978328484107109</v>
      </c>
      <c r="W11" s="22">
        <f t="shared" si="1"/>
        <v>21.979904785524546</v>
      </c>
      <c r="X11" s="22">
        <f t="shared" si="1"/>
        <v>21.981520494477422</v>
      </c>
      <c r="Y11" s="22">
        <f t="shared" si="1"/>
        <v>21.983176596154117</v>
      </c>
      <c r="Z11" s="22">
        <f t="shared" si="1"/>
        <v>21.984874100372721</v>
      </c>
      <c r="AA11" s="22">
        <f t="shared" si="1"/>
        <v>21.986614042196813</v>
      </c>
      <c r="AB11" s="22">
        <f t="shared" si="1"/>
        <v>22.125823764321581</v>
      </c>
      <c r="AC11" s="22">
        <f t="shared" si="1"/>
        <v>22.351735172104576</v>
      </c>
      <c r="AD11" s="22">
        <f t="shared" si="1"/>
        <v>10.212910697844791</v>
      </c>
      <c r="AE11" s="22">
        <f t="shared" si="1"/>
        <v>10.307233465290921</v>
      </c>
      <c r="AF11" s="22">
        <f t="shared" si="1"/>
        <v>10.403914301923194</v>
      </c>
      <c r="AG11" s="22">
        <f t="shared" si="1"/>
        <v>10.503012159471254</v>
      </c>
    </row>
    <row r="13" spans="1:33" ht="15" customHeight="1" x14ac:dyDescent="0.3">
      <c r="A13" s="9" t="s">
        <v>202</v>
      </c>
      <c r="D13" s="21">
        <f>-Model!D97</f>
        <v>-1.5946575000000001</v>
      </c>
      <c r="E13" s="21">
        <f>-Model!E97</f>
        <v>-6.1677225750000009</v>
      </c>
      <c r="F13" s="21">
        <f>-Model!F97</f>
        <v>-11.94809292075</v>
      </c>
      <c r="G13" s="21">
        <f>-Model!G97</f>
        <v>-14.446514706457501</v>
      </c>
      <c r="H13" s="21">
        <f>-Model!H97</f>
        <v>-12.645812397993076</v>
      </c>
      <c r="I13" s="21">
        <f>-Model!I97</f>
        <v>-10.133226802230435</v>
      </c>
      <c r="J13" s="21">
        <f>-Model!J97</f>
        <v>-8.3882703196887576</v>
      </c>
      <c r="K13" s="21">
        <f>-Model!K97</f>
        <v>-7.1105621050284054</v>
      </c>
      <c r="L13" s="21">
        <f>-Model!L97</f>
        <v>-6.1363243149234794</v>
      </c>
      <c r="M13" s="21">
        <f>-Model!M97</f>
        <v>-5.3705316321328551</v>
      </c>
      <c r="N13" s="21">
        <f>-Model!N97</f>
        <v>-4.7544345097337253</v>
      </c>
      <c r="O13" s="21">
        <f>-Model!O97</f>
        <v>-4.2495372027989378</v>
      </c>
      <c r="P13" s="21">
        <f>-Model!P97</f>
        <v>-3.8293652915291876</v>
      </c>
      <c r="Q13" s="21">
        <f>-Model!Q97</f>
        <v>-3.4750152364771911</v>
      </c>
      <c r="R13" s="21">
        <f>-Model!R97</f>
        <v>-3.1726054889142659</v>
      </c>
      <c r="S13" s="21">
        <f>-Model!S97</f>
        <v>-2.911727783373153</v>
      </c>
      <c r="T13" s="21">
        <f>-Model!T97</f>
        <v>-2.6844534437688647</v>
      </c>
      <c r="U13" s="21">
        <f>-Model!U97</f>
        <v>-2.4846659392122024</v>
      </c>
      <c r="V13" s="21">
        <f>-Model!V97</f>
        <v>-2.3075962366729112</v>
      </c>
      <c r="W13" s="21">
        <f>-Model!W97</f>
        <v>-2.14949055790201</v>
      </c>
      <c r="X13" s="21">
        <f>-Model!X97</f>
        <v>-2.007368090402065</v>
      </c>
      <c r="Y13" s="21">
        <f>-Model!Y97</f>
        <v>-1.8788416988778733</v>
      </c>
      <c r="Z13" s="21">
        <f>-Model!Z97</f>
        <v>-1.76198376443145</v>
      </c>
      <c r="AA13" s="21">
        <f>-Model!AA97</f>
        <v>-1.6552248895393948</v>
      </c>
      <c r="AB13" s="21">
        <f>-Model!AB97</f>
        <v>-1.5572768382139142</v>
      </c>
      <c r="AC13" s="21">
        <f>-Model!AC97</f>
        <v>-1.4670735209944539</v>
      </c>
      <c r="AD13" s="21">
        <f>-Model!AD97</f>
        <v>-1.3837255220996116</v>
      </c>
      <c r="AE13" s="21">
        <f>-Model!AE97</f>
        <v>-1.306484858470796</v>
      </c>
      <c r="AF13" s="21">
        <f>-Model!AF97</f>
        <v>-1.2347175162950415</v>
      </c>
      <c r="AG13" s="21">
        <f>-Model!AG97</f>
        <v>-1.1678819322106246</v>
      </c>
    </row>
    <row r="14" spans="1:33" ht="15" customHeight="1" x14ac:dyDescent="0.3">
      <c r="A14" s="13" t="s">
        <v>203</v>
      </c>
      <c r="D14" s="22">
        <f t="shared" ref="D14:AG14" si="2">D11+D13</f>
        <v>-1.5946575000000001</v>
      </c>
      <c r="E14" s="22">
        <f t="shared" si="2"/>
        <v>-6.1677225750000009</v>
      </c>
      <c r="F14" s="22">
        <f t="shared" si="2"/>
        <v>-18.130944171518749</v>
      </c>
      <c r="G14" s="22">
        <f t="shared" si="2"/>
        <v>-29.007534700652329</v>
      </c>
      <c r="H14" s="22">
        <f t="shared" si="2"/>
        <v>11.099033895627443</v>
      </c>
      <c r="I14" s="22">
        <f t="shared" si="2"/>
        <v>11.827788871834418</v>
      </c>
      <c r="J14" s="22">
        <f t="shared" si="2"/>
        <v>13.573888835542476</v>
      </c>
      <c r="K14" s="22">
        <f t="shared" si="2"/>
        <v>14.852769118398372</v>
      </c>
      <c r="L14" s="22">
        <f t="shared" si="2"/>
        <v>15.828208278403727</v>
      </c>
      <c r="M14" s="22">
        <f t="shared" si="2"/>
        <v>16.595232365342287</v>
      </c>
      <c r="N14" s="22">
        <f t="shared" si="2"/>
        <v>17.212591676993064</v>
      </c>
      <c r="O14" s="22">
        <f t="shared" si="2"/>
        <v>17.718782727910781</v>
      </c>
      <c r="P14" s="22">
        <f t="shared" si="2"/>
        <v>18.140280726763038</v>
      </c>
      <c r="Q14" s="22">
        <f t="shared" si="2"/>
        <v>18.495990021587104</v>
      </c>
      <c r="R14" s="22">
        <f t="shared" si="2"/>
        <v>18.799792989916391</v>
      </c>
      <c r="S14" s="22">
        <f t="shared" si="2"/>
        <v>19.062098746743025</v>
      </c>
      <c r="T14" s="22">
        <f t="shared" si="2"/>
        <v>19.290836838914984</v>
      </c>
      <c r="U14" s="22">
        <f t="shared" si="2"/>
        <v>19.492124689853501</v>
      </c>
      <c r="V14" s="22">
        <f t="shared" si="2"/>
        <v>19.670732247434199</v>
      </c>
      <c r="W14" s="22">
        <f t="shared" si="2"/>
        <v>19.830414227622537</v>
      </c>
      <c r="X14" s="22">
        <f t="shared" si="2"/>
        <v>19.974152404075358</v>
      </c>
      <c r="Y14" s="22">
        <f t="shared" si="2"/>
        <v>20.104334897276242</v>
      </c>
      <c r="Z14" s="22">
        <f t="shared" si="2"/>
        <v>20.222890335941273</v>
      </c>
      <c r="AA14" s="22">
        <f t="shared" si="2"/>
        <v>20.331389152657419</v>
      </c>
      <c r="AB14" s="22">
        <f t="shared" si="2"/>
        <v>20.568546926107665</v>
      </c>
      <c r="AC14" s="22">
        <f t="shared" si="2"/>
        <v>20.884661651110122</v>
      </c>
      <c r="AD14" s="22">
        <f t="shared" si="2"/>
        <v>8.8291851757451791</v>
      </c>
      <c r="AE14" s="22">
        <f t="shared" si="2"/>
        <v>9.0007486068201246</v>
      </c>
      <c r="AF14" s="22">
        <f t="shared" si="2"/>
        <v>9.1691967856281522</v>
      </c>
      <c r="AG14" s="22">
        <f t="shared" si="2"/>
        <v>9.3351302272606294</v>
      </c>
    </row>
    <row r="15" spans="1:33" ht="15" customHeight="1" x14ac:dyDescent="0.3">
      <c r="A15" s="9" t="s">
        <v>204</v>
      </c>
      <c r="D15" s="21">
        <f>-IF(Model!D3&gt;Assumptions!$B$65,Model!D21,0)</f>
        <v>0</v>
      </c>
      <c r="E15" s="21">
        <f>-IF(Model!E3&gt;Assumptions!$B$65,Model!E21,0)</f>
        <v>0</v>
      </c>
      <c r="F15" s="21">
        <f>-IF(Model!F3&gt;Assumptions!$B$65,Model!F21,0)</f>
        <v>0</v>
      </c>
      <c r="G15" s="21">
        <f>-IF(Model!G3&gt;Assumptions!$B$65,Model!G21,0)</f>
        <v>0</v>
      </c>
      <c r="H15" s="21">
        <f>-IF(Model!H3&gt;Assumptions!$B$65,Model!H21,0)</f>
        <v>-8.968978278944947</v>
      </c>
      <c r="I15" s="21">
        <f>-IF(Model!I3&gt;Assumptions!$B$65,Model!I21,0)</f>
        <v>-8.7899311080672717</v>
      </c>
      <c r="J15" s="21">
        <f>-IF(Model!J3&gt;Assumptions!$B$65,Model!J21,0)</f>
        <v>-8.5980309081373054</v>
      </c>
      <c r="K15" s="21">
        <f>-IF(Model!K3&gt;Assumptions!$B$65,Model!K21,0)</f>
        <v>-8.3923550152837958</v>
      </c>
      <c r="L15" s="21">
        <f>-IF(Model!L3&gt;Assumptions!$B$65,Model!L21,0)</f>
        <v>-8.1719145315504438</v>
      </c>
      <c r="M15" s="21">
        <f>-IF(Model!M3&gt;Assumptions!$B$65,Model!M21,0)</f>
        <v>-7.9356495702348067</v>
      </c>
      <c r="N15" s="21">
        <f>-IF(Model!N3&gt;Assumptions!$B$65,Model!N21,0)</f>
        <v>-7.6824241599104379</v>
      </c>
      <c r="O15" s="21">
        <f>-IF(Model!O3&gt;Assumptions!$B$65,Model!O21,0)</f>
        <v>-7.4110207826306427</v>
      </c>
      <c r="P15" s="21">
        <f>-IF(Model!P3&gt;Assumptions!$B$65,Model!P21,0)</f>
        <v>-7.120134520053262</v>
      </c>
      <c r="Q15" s="21">
        <f>-IF(Model!Q3&gt;Assumptions!$B$65,Model!Q21,0)</f>
        <v>-6.8083667793408615</v>
      </c>
      <c r="R15" s="21">
        <f>-IF(Model!R3&gt;Assumptions!$B$65,Model!R21,0)</f>
        <v>-6.4742185686701781</v>
      </c>
      <c r="S15" s="21">
        <f>-IF(Model!S3&gt;Assumptions!$B$65,Model!S21,0)</f>
        <v>-6.1160832900192075</v>
      </c>
      <c r="T15" s="21">
        <f>-IF(Model!T3&gt;Assumptions!$B$65,Model!T21,0)</f>
        <v>-5.7322390145793625</v>
      </c>
      <c r="U15" s="21">
        <f>-IF(Model!U3&gt;Assumptions!$B$65,Model!U21,0)</f>
        <v>-5.3208402036525859</v>
      </c>
      <c r="V15" s="21">
        <f>-IF(Model!V3&gt;Assumptions!$B$65,Model!V21,0)</f>
        <v>-4.8799088352271367</v>
      </c>
      <c r="W15" s="21">
        <f>-IF(Model!W3&gt;Assumptions!$B$65,Model!W21,0)</f>
        <v>-4.4073248935682896</v>
      </c>
      <c r="X15" s="21">
        <f>-IF(Model!X3&gt;Assumptions!$B$65,Model!X21,0)</f>
        <v>-3.9008161760975044</v>
      </c>
      <c r="Y15" s="21">
        <f>-IF(Model!Y3&gt;Assumptions!$B$65,Model!Y21,0)</f>
        <v>-3.357947368551137</v>
      </c>
      <c r="Z15" s="21">
        <f>-IF(Model!Z3&gt;Assumptions!$B$65,Model!Z21,0)</f>
        <v>-2.7761083358916201</v>
      </c>
      <c r="AA15" s="21">
        <f>-IF(Model!AA3&gt;Assumptions!$B$65,Model!AA21,0)</f>
        <v>-2.152501572673331</v>
      </c>
      <c r="AB15" s="21">
        <f>-IF(Model!AB3&gt;Assumptions!$B$65,Model!AB21,0)</f>
        <v>-1.4841287525240139</v>
      </c>
      <c r="AC15" s="21">
        <f>-IF(Model!AC3&gt;Assumptions!$B$65,Model!AC21,0)</f>
        <v>-0.76777631207112129</v>
      </c>
      <c r="AD15" s="21">
        <f>-IF(Model!AD3&gt;Assumptions!$B$65,Model!AD21,0)</f>
        <v>-3.0604090690238601E-15</v>
      </c>
      <c r="AE15" s="21">
        <f>-IF(Model!AE3&gt;Assumptions!$B$65,Model!AE21,0)</f>
        <v>-3.2801027200502158E-15</v>
      </c>
      <c r="AF15" s="21">
        <f>-IF(Model!AF3&gt;Assumptions!$B$65,Model!AF21,0)</f>
        <v>-3.5155672367395351E-15</v>
      </c>
      <c r="AG15" s="21">
        <f>-IF(Model!AG3&gt;Assumptions!$B$65,Model!AG21,0)</f>
        <v>-3.767934741948337E-15</v>
      </c>
    </row>
    <row r="16" spans="1:33" ht="15" customHeight="1" x14ac:dyDescent="0.3">
      <c r="A16" s="13" t="s">
        <v>205</v>
      </c>
      <c r="D16" s="22">
        <f t="shared" ref="D16:AG16" si="3">D14+D15</f>
        <v>-1.5946575000000001</v>
      </c>
      <c r="E16" s="22">
        <f t="shared" si="3"/>
        <v>-6.1677225750000009</v>
      </c>
      <c r="F16" s="22">
        <f t="shared" si="3"/>
        <v>-18.130944171518749</v>
      </c>
      <c r="G16" s="22">
        <f t="shared" si="3"/>
        <v>-29.007534700652329</v>
      </c>
      <c r="H16" s="22">
        <f t="shared" si="3"/>
        <v>2.1300556166824958</v>
      </c>
      <c r="I16" s="22">
        <f t="shared" si="3"/>
        <v>3.0378577637671462</v>
      </c>
      <c r="J16" s="22">
        <f t="shared" si="3"/>
        <v>4.9758579274051709</v>
      </c>
      <c r="K16" s="22">
        <f t="shared" si="3"/>
        <v>6.4604141031145765</v>
      </c>
      <c r="L16" s="22">
        <f t="shared" si="3"/>
        <v>7.656293746853283</v>
      </c>
      <c r="M16" s="22">
        <f t="shared" si="3"/>
        <v>8.6595827951074806</v>
      </c>
      <c r="N16" s="22">
        <f t="shared" si="3"/>
        <v>9.5301675170826261</v>
      </c>
      <c r="O16" s="22">
        <f t="shared" si="3"/>
        <v>10.307761945280138</v>
      </c>
      <c r="P16" s="22">
        <f t="shared" si="3"/>
        <v>11.020146206709775</v>
      </c>
      <c r="Q16" s="22">
        <f t="shared" si="3"/>
        <v>11.687623242246243</v>
      </c>
      <c r="R16" s="22">
        <f t="shared" si="3"/>
        <v>12.325574421246213</v>
      </c>
      <c r="S16" s="22">
        <f t="shared" si="3"/>
        <v>12.946015456723817</v>
      </c>
      <c r="T16" s="22">
        <f t="shared" si="3"/>
        <v>13.558597824335621</v>
      </c>
      <c r="U16" s="22">
        <f t="shared" si="3"/>
        <v>14.171284486200914</v>
      </c>
      <c r="V16" s="22">
        <f t="shared" si="3"/>
        <v>14.790823412207061</v>
      </c>
      <c r="W16" s="22">
        <f t="shared" si="3"/>
        <v>15.423089334054247</v>
      </c>
      <c r="X16" s="22">
        <f t="shared" si="3"/>
        <v>16.073336227977855</v>
      </c>
      <c r="Y16" s="22">
        <f t="shared" si="3"/>
        <v>16.746387528725105</v>
      </c>
      <c r="Z16" s="22">
        <f t="shared" si="3"/>
        <v>17.446782000049652</v>
      </c>
      <c r="AA16" s="22">
        <f t="shared" si="3"/>
        <v>18.178887579984089</v>
      </c>
      <c r="AB16" s="22">
        <f t="shared" si="3"/>
        <v>19.08441817358365</v>
      </c>
      <c r="AC16" s="22">
        <f t="shared" si="3"/>
        <v>20.116885339039001</v>
      </c>
      <c r="AD16" s="22">
        <f t="shared" si="3"/>
        <v>8.8291851757451756</v>
      </c>
      <c r="AE16" s="22">
        <f t="shared" si="3"/>
        <v>9.000748606820121</v>
      </c>
      <c r="AF16" s="22">
        <f t="shared" si="3"/>
        <v>9.1691967856281487</v>
      </c>
      <c r="AG16" s="22">
        <f t="shared" si="3"/>
        <v>9.3351302272606258</v>
      </c>
    </row>
    <row r="17" spans="1:33" ht="15" customHeight="1" x14ac:dyDescent="0.3">
      <c r="A17" s="9" t="s">
        <v>174</v>
      </c>
      <c r="D17" s="21">
        <f>-Model!D63</f>
        <v>0</v>
      </c>
      <c r="E17" s="21">
        <f>-Model!E63</f>
        <v>0</v>
      </c>
      <c r="F17" s="21">
        <f>-Model!F63</f>
        <v>0</v>
      </c>
      <c r="G17" s="21">
        <f>-Model!G63</f>
        <v>0</v>
      </c>
      <c r="H17" s="21">
        <f>-Model!H63</f>
        <v>-0.53251390417062394</v>
      </c>
      <c r="I17" s="21">
        <f>-Model!I63</f>
        <v>-0.75946444094178656</v>
      </c>
      <c r="J17" s="21">
        <f>-Model!J63</f>
        <v>-1.2439644818512927</v>
      </c>
      <c r="K17" s="21">
        <f>-Model!K63</f>
        <v>-1.6151035257786441</v>
      </c>
      <c r="L17" s="21">
        <f>-Model!L63</f>
        <v>-1.9140734367133208</v>
      </c>
      <c r="M17" s="21">
        <f>-Model!M63</f>
        <v>-2.1648956987768706</v>
      </c>
      <c r="N17" s="21">
        <f>-Model!N63</f>
        <v>-2.382541879270657</v>
      </c>
      <c r="O17" s="21">
        <f>-Model!O63</f>
        <v>-2.5769404863200345</v>
      </c>
      <c r="P17" s="21">
        <f>-Model!P63</f>
        <v>-2.7550365516774433</v>
      </c>
      <c r="Q17" s="21">
        <f>-Model!Q63</f>
        <v>-2.9219058105615607</v>
      </c>
      <c r="R17" s="21">
        <f>-Model!R63</f>
        <v>-3.0813936053115527</v>
      </c>
      <c r="S17" s="21">
        <f>-Model!S63</f>
        <v>-3.2365038641809543</v>
      </c>
      <c r="T17" s="21">
        <f>-Model!T63</f>
        <v>-3.3896494560839057</v>
      </c>
      <c r="U17" s="21">
        <f>-Model!U63</f>
        <v>-3.5428211215502285</v>
      </c>
      <c r="V17" s="21">
        <f>-Model!V63</f>
        <v>-3.6977058530517652</v>
      </c>
      <c r="W17" s="21">
        <f>-Model!W63</f>
        <v>-3.8557723335135616</v>
      </c>
      <c r="X17" s="21">
        <f>-Model!X63</f>
        <v>-4.0183340569944637</v>
      </c>
      <c r="Y17" s="21">
        <f>-Model!Y63</f>
        <v>-4.1865968821812762</v>
      </c>
      <c r="Z17" s="21">
        <f>-Model!Z63</f>
        <v>-4.3616955000124129</v>
      </c>
      <c r="AA17" s="21">
        <f>-Model!AA63</f>
        <v>-4.5447218949960222</v>
      </c>
      <c r="AB17" s="21">
        <f>-Model!AB63</f>
        <v>-4.7711045433959125</v>
      </c>
      <c r="AC17" s="21">
        <f>-Model!AC63</f>
        <v>-5.0292213347597503</v>
      </c>
      <c r="AD17" s="21">
        <f>-Model!AD63</f>
        <v>-2.2072962939362939</v>
      </c>
      <c r="AE17" s="21">
        <f>-Model!AE63</f>
        <v>-2.2501871517050303</v>
      </c>
      <c r="AF17" s="21">
        <f>-Model!AF63</f>
        <v>-2.2922991964070372</v>
      </c>
      <c r="AG17" s="21">
        <f>-Model!AG63</f>
        <v>-2.3337825568151565</v>
      </c>
    </row>
    <row r="18" spans="1:33" ht="15" customHeight="1" x14ac:dyDescent="0.3">
      <c r="A18" s="13" t="s">
        <v>206</v>
      </c>
      <c r="D18" s="22">
        <f t="shared" ref="D18:AG18" si="4">D16+D17</f>
        <v>-1.5946575000000001</v>
      </c>
      <c r="E18" s="22">
        <f t="shared" si="4"/>
        <v>-6.1677225750000009</v>
      </c>
      <c r="F18" s="22">
        <f t="shared" si="4"/>
        <v>-18.130944171518749</v>
      </c>
      <c r="G18" s="22">
        <f t="shared" si="4"/>
        <v>-29.007534700652329</v>
      </c>
      <c r="H18" s="22">
        <f t="shared" si="4"/>
        <v>1.5975417125118718</v>
      </c>
      <c r="I18" s="22">
        <f t="shared" si="4"/>
        <v>2.2783933228253597</v>
      </c>
      <c r="J18" s="22">
        <f t="shared" si="4"/>
        <v>3.7318934455538781</v>
      </c>
      <c r="K18" s="22">
        <f t="shared" si="4"/>
        <v>4.8453105773359324</v>
      </c>
      <c r="L18" s="22">
        <f t="shared" si="4"/>
        <v>5.7422203101399623</v>
      </c>
      <c r="M18" s="22">
        <f t="shared" si="4"/>
        <v>6.49468709633061</v>
      </c>
      <c r="N18" s="22">
        <f t="shared" si="4"/>
        <v>7.1476256378119691</v>
      </c>
      <c r="O18" s="22">
        <f t="shared" si="4"/>
        <v>7.7308214589601034</v>
      </c>
      <c r="P18" s="22">
        <f t="shared" si="4"/>
        <v>8.2651096550323313</v>
      </c>
      <c r="Q18" s="22">
        <f t="shared" si="4"/>
        <v>8.7657174316846813</v>
      </c>
      <c r="R18" s="22">
        <f t="shared" si="4"/>
        <v>9.2441808159346603</v>
      </c>
      <c r="S18" s="22">
        <f t="shared" si="4"/>
        <v>9.7095115925428637</v>
      </c>
      <c r="T18" s="22">
        <f t="shared" si="4"/>
        <v>10.168948368251716</v>
      </c>
      <c r="U18" s="22">
        <f t="shared" si="4"/>
        <v>10.628463364650685</v>
      </c>
      <c r="V18" s="22">
        <f t="shared" si="4"/>
        <v>11.093117559155296</v>
      </c>
      <c r="W18" s="22">
        <f t="shared" si="4"/>
        <v>11.567317000540685</v>
      </c>
      <c r="X18" s="22">
        <f t="shared" si="4"/>
        <v>12.055002170983391</v>
      </c>
      <c r="Y18" s="22">
        <f t="shared" si="4"/>
        <v>12.559790646543828</v>
      </c>
      <c r="Z18" s="22">
        <f t="shared" si="4"/>
        <v>13.085086500037239</v>
      </c>
      <c r="AA18" s="22">
        <f t="shared" si="4"/>
        <v>13.634165684988066</v>
      </c>
      <c r="AB18" s="22">
        <f t="shared" si="4"/>
        <v>14.313313630187738</v>
      </c>
      <c r="AC18" s="22">
        <f t="shared" si="4"/>
        <v>15.087664004279251</v>
      </c>
      <c r="AD18" s="22">
        <f t="shared" si="4"/>
        <v>6.6218888818088821</v>
      </c>
      <c r="AE18" s="22">
        <f t="shared" si="4"/>
        <v>6.7505614551150908</v>
      </c>
      <c r="AF18" s="22">
        <f t="shared" si="4"/>
        <v>6.8768975892211115</v>
      </c>
      <c r="AG18" s="22">
        <f t="shared" si="4"/>
        <v>7.0013476704454689</v>
      </c>
    </row>
  </sheetData>
  <mergeCells count="1">
    <mergeCell ref="A1:R1"/>
  </mergeCells>
  <pageMargins left="0.3" right="0.3" top="0.5" bottom="0.5" header="0.2" footer="0.2"/>
  <pageSetup paperSize="9" fitToHeight="0" orientation="landscape" horizontalDpi="300" verticalDpi="300"/>
  <headerFooter>
    <oddHeader>&amp;L (Case B)&amp;CP</oddHeader>
    <oddFooter>&amp;RPage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G20"/>
  <sheetViews>
    <sheetView showGridLines="0" zoomScaleNormal="100" workbookViewId="0">
      <pane xSplit="3" ySplit="6" topLeftCell="D7" activePane="bottomRight" state="frozen"/>
      <selection activeCell="A59" sqref="A59:F63"/>
      <selection pane="topRight" activeCell="A59" sqref="A59:F63"/>
      <selection pane="bottomLeft" activeCell="A59" sqref="A59:F63"/>
      <selection pane="bottomRight" activeCell="A59" sqref="A59:F63"/>
    </sheetView>
  </sheetViews>
  <sheetFormatPr defaultColWidth="8.6328125" defaultRowHeight="14" x14ac:dyDescent="0.3"/>
  <cols>
    <col min="1" max="1" width="32" style="9" customWidth="1"/>
    <col min="2" max="3" width="8.6328125" style="9"/>
    <col min="4" max="5" width="6.36328125" style="9" bestFit="1" customWidth="1"/>
    <col min="6" max="7" width="7.36328125" style="9" bestFit="1" customWidth="1"/>
    <col min="8" max="23" width="7.6328125" style="9" bestFit="1" customWidth="1"/>
    <col min="24" max="33" width="7.36328125" style="9" bestFit="1" customWidth="1"/>
    <col min="34" max="16384" width="8.6328125" style="9"/>
  </cols>
  <sheetData>
    <row r="1" spans="1:33" ht="17.25" customHeight="1" thickBot="1" x14ac:dyDescent="0.35">
      <c r="A1" s="90" t="s">
        <v>382</v>
      </c>
      <c r="B1" s="91"/>
      <c r="C1" s="91"/>
      <c r="D1" s="91"/>
      <c r="E1" s="91"/>
      <c r="F1" s="91"/>
      <c r="G1" s="91"/>
      <c r="H1" s="91"/>
      <c r="I1" s="91"/>
      <c r="J1" s="91"/>
      <c r="K1" s="91"/>
      <c r="L1" s="91"/>
    </row>
    <row r="2" spans="1:33" ht="15" customHeight="1" x14ac:dyDescent="0.3">
      <c r="A2" s="60" t="s">
        <v>207</v>
      </c>
    </row>
    <row r="4" spans="1:33" ht="15" customHeight="1" x14ac:dyDescent="0.3">
      <c r="A4" s="13" t="s">
        <v>136</v>
      </c>
      <c r="D4" s="13">
        <f>Model!D3</f>
        <v>1</v>
      </c>
      <c r="E4" s="13">
        <f>Model!E3</f>
        <v>2</v>
      </c>
      <c r="F4" s="13">
        <f>Model!F3</f>
        <v>3</v>
      </c>
      <c r="G4" s="13">
        <f>Model!G3</f>
        <v>4</v>
      </c>
      <c r="H4" s="13">
        <f>Model!H3</f>
        <v>5</v>
      </c>
      <c r="I4" s="13">
        <f>Model!I3</f>
        <v>6</v>
      </c>
      <c r="J4" s="13">
        <f>Model!J3</f>
        <v>7</v>
      </c>
      <c r="K4" s="13">
        <f>Model!K3</f>
        <v>8</v>
      </c>
      <c r="L4" s="13">
        <f>Model!L3</f>
        <v>9</v>
      </c>
      <c r="M4" s="13">
        <f>Model!M3</f>
        <v>10</v>
      </c>
      <c r="N4" s="13">
        <f>Model!N3</f>
        <v>11</v>
      </c>
      <c r="O4" s="13">
        <f>Model!O3</f>
        <v>12</v>
      </c>
      <c r="P4" s="13">
        <f>Model!P3</f>
        <v>13</v>
      </c>
      <c r="Q4" s="13">
        <f>Model!Q3</f>
        <v>14</v>
      </c>
      <c r="R4" s="13">
        <f>Model!R3</f>
        <v>15</v>
      </c>
      <c r="S4" s="13">
        <f>Model!S3</f>
        <v>16</v>
      </c>
      <c r="T4" s="13">
        <f>Model!T3</f>
        <v>17</v>
      </c>
      <c r="U4" s="13">
        <f>Model!U3</f>
        <v>18</v>
      </c>
      <c r="V4" s="13">
        <f>Model!V3</f>
        <v>19</v>
      </c>
      <c r="W4" s="13">
        <f>Model!W3</f>
        <v>20</v>
      </c>
      <c r="X4" s="13">
        <f>Model!X3</f>
        <v>21</v>
      </c>
      <c r="Y4" s="13">
        <f>Model!Y3</f>
        <v>22</v>
      </c>
      <c r="Z4" s="13">
        <f>Model!Z3</f>
        <v>23</v>
      </c>
      <c r="AA4" s="13">
        <f>Model!AA3</f>
        <v>24</v>
      </c>
      <c r="AB4" s="13">
        <f>Model!AB3</f>
        <v>25</v>
      </c>
      <c r="AC4" s="13">
        <f>Model!AC3</f>
        <v>26</v>
      </c>
      <c r="AD4" s="13">
        <f>Model!AD3</f>
        <v>27</v>
      </c>
      <c r="AE4" s="13">
        <f>Model!AE3</f>
        <v>28</v>
      </c>
      <c r="AF4" s="13">
        <f>Model!AF3</f>
        <v>29</v>
      </c>
      <c r="AG4" s="13">
        <f>Model!AG3</f>
        <v>30</v>
      </c>
    </row>
    <row r="6" spans="1:33" ht="15" customHeight="1" x14ac:dyDescent="0.3">
      <c r="A6" s="51" t="s">
        <v>208</v>
      </c>
      <c r="B6" s="57"/>
      <c r="C6" s="57"/>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row>
    <row r="8" spans="1:33" ht="15" customHeight="1" x14ac:dyDescent="0.3">
      <c r="A8" s="9" t="s">
        <v>209</v>
      </c>
      <c r="D8" s="21">
        <f>0+Model!D73</f>
        <v>23.89</v>
      </c>
      <c r="E8" s="21">
        <f>D8+Model!E73</f>
        <v>74.66</v>
      </c>
      <c r="F8" s="21">
        <f>E8+Model!F73</f>
        <v>133.57</v>
      </c>
      <c r="G8" s="21">
        <f>F8+Model!G73</f>
        <v>155</v>
      </c>
      <c r="H8" s="21">
        <f>G8+Model!H73</f>
        <v>155</v>
      </c>
      <c r="I8" s="21">
        <f>H8+Model!I73</f>
        <v>155</v>
      </c>
      <c r="J8" s="21">
        <f>I8+Model!J73</f>
        <v>155</v>
      </c>
      <c r="K8" s="21">
        <f>J8+Model!K73</f>
        <v>155</v>
      </c>
      <c r="L8" s="21">
        <f>K8+Model!L73</f>
        <v>155</v>
      </c>
      <c r="M8" s="21">
        <f>L8+Model!M73</f>
        <v>155</v>
      </c>
      <c r="N8" s="21">
        <f>M8+Model!N73</f>
        <v>155</v>
      </c>
      <c r="O8" s="21">
        <f>N8+Model!O73</f>
        <v>155</v>
      </c>
      <c r="P8" s="21">
        <f>O8+Model!P73</f>
        <v>155</v>
      </c>
      <c r="Q8" s="21">
        <f>P8+Model!Q73</f>
        <v>155</v>
      </c>
      <c r="R8" s="21">
        <f>Q8+Model!R73</f>
        <v>155</v>
      </c>
      <c r="S8" s="21">
        <f>R8+Model!S73</f>
        <v>155</v>
      </c>
      <c r="T8" s="21">
        <f>S8+Model!T73</f>
        <v>155</v>
      </c>
      <c r="U8" s="21">
        <f>T8+Model!U73</f>
        <v>155</v>
      </c>
      <c r="V8" s="21">
        <f>U8+Model!V73</f>
        <v>155</v>
      </c>
      <c r="W8" s="21">
        <f>V8+Model!W73</f>
        <v>155</v>
      </c>
      <c r="X8" s="21">
        <f>W8+Model!X73</f>
        <v>155</v>
      </c>
      <c r="Y8" s="21">
        <f>X8+Model!Y73</f>
        <v>155</v>
      </c>
      <c r="Z8" s="21">
        <f>Y8+Model!Z73</f>
        <v>155</v>
      </c>
      <c r="AA8" s="21">
        <f>Z8+Model!AA73</f>
        <v>155</v>
      </c>
      <c r="AB8" s="21">
        <f>AA8+Model!AB73</f>
        <v>155</v>
      </c>
      <c r="AC8" s="21">
        <f>AB8+Model!AC73</f>
        <v>155</v>
      </c>
      <c r="AD8" s="21">
        <f>AC8+Model!AD73</f>
        <v>155</v>
      </c>
      <c r="AE8" s="21">
        <f>AD8+Model!AE73</f>
        <v>155</v>
      </c>
      <c r="AF8" s="21">
        <f>AE8+Model!AF73</f>
        <v>155</v>
      </c>
      <c r="AG8" s="21">
        <f>AF8+Model!AG73</f>
        <v>155</v>
      </c>
    </row>
    <row r="9" spans="1:33" ht="15" customHeight="1" x14ac:dyDescent="0.3">
      <c r="A9" s="9" t="s">
        <v>210</v>
      </c>
      <c r="D9" s="21">
        <f>0+Model!D97</f>
        <v>1.5946575000000001</v>
      </c>
      <c r="E9" s="21">
        <f>D9+Model!E97</f>
        <v>7.7623800750000012</v>
      </c>
      <c r="F9" s="21">
        <f>E9+Model!F97</f>
        <v>19.710472995750003</v>
      </c>
      <c r="G9" s="21">
        <f>F9+Model!G97</f>
        <v>34.156987702207502</v>
      </c>
      <c r="H9" s="21">
        <f>G9+Model!H97</f>
        <v>46.802800100200578</v>
      </c>
      <c r="I9" s="21">
        <f>H9+Model!I97</f>
        <v>56.93602690243101</v>
      </c>
      <c r="J9" s="21">
        <f>I9+Model!J97</f>
        <v>65.324297222119768</v>
      </c>
      <c r="K9" s="21">
        <f>J9+Model!K97</f>
        <v>72.434859327148175</v>
      </c>
      <c r="L9" s="21">
        <f>K9+Model!L97</f>
        <v>78.571183642071659</v>
      </c>
      <c r="M9" s="21">
        <f>L9+Model!M97</f>
        <v>83.941715274204512</v>
      </c>
      <c r="N9" s="21">
        <f>M9+Model!N97</f>
        <v>88.696149783938239</v>
      </c>
      <c r="O9" s="21">
        <f>N9+Model!O97</f>
        <v>92.945686986737172</v>
      </c>
      <c r="P9" s="21">
        <f>O9+Model!P97</f>
        <v>96.775052278266358</v>
      </c>
      <c r="Q9" s="21">
        <f>P9+Model!Q97</f>
        <v>100.25006751474355</v>
      </c>
      <c r="R9" s="21">
        <f>Q9+Model!R97</f>
        <v>103.42267300365782</v>
      </c>
      <c r="S9" s="21">
        <f>R9+Model!S97</f>
        <v>106.33440078703097</v>
      </c>
      <c r="T9" s="21">
        <f>S9+Model!T97</f>
        <v>109.01885423079983</v>
      </c>
      <c r="U9" s="21">
        <f>T9+Model!U97</f>
        <v>111.50352017001204</v>
      </c>
      <c r="V9" s="21">
        <f>U9+Model!V97</f>
        <v>113.81111640668495</v>
      </c>
      <c r="W9" s="21">
        <f>V9+Model!W97</f>
        <v>115.96060696458696</v>
      </c>
      <c r="X9" s="21">
        <f>W9+Model!X97</f>
        <v>117.96797505498903</v>
      </c>
      <c r="Y9" s="21">
        <f>X9+Model!Y97</f>
        <v>119.8468167538669</v>
      </c>
      <c r="Z9" s="21">
        <f>Y9+Model!Z97</f>
        <v>121.60880051829835</v>
      </c>
      <c r="AA9" s="21">
        <f>Z9+Model!AA97</f>
        <v>123.26402540783775</v>
      </c>
      <c r="AB9" s="21">
        <f>AA9+Model!AB97</f>
        <v>124.82130224605166</v>
      </c>
      <c r="AC9" s="21">
        <f>AB9+Model!AC97</f>
        <v>126.28837576704612</v>
      </c>
      <c r="AD9" s="21">
        <f>AC9+Model!AD97</f>
        <v>127.67210128914573</v>
      </c>
      <c r="AE9" s="21">
        <f>AD9+Model!AE97</f>
        <v>128.97858614761651</v>
      </c>
      <c r="AF9" s="21">
        <f>AE9+Model!AF97</f>
        <v>130.21330366391155</v>
      </c>
      <c r="AG9" s="21">
        <f>AF9+Model!AG97</f>
        <v>131.38118559612218</v>
      </c>
    </row>
    <row r="10" spans="1:33" ht="15" customHeight="1" x14ac:dyDescent="0.3">
      <c r="A10" s="13" t="s">
        <v>211</v>
      </c>
      <c r="D10" s="22">
        <f t="shared" ref="D10:AG10" si="0">D8-D9</f>
        <v>22.2953425</v>
      </c>
      <c r="E10" s="22">
        <f t="shared" si="0"/>
        <v>66.897619925000001</v>
      </c>
      <c r="F10" s="22">
        <f t="shared" si="0"/>
        <v>113.85952700425</v>
      </c>
      <c r="G10" s="22">
        <f t="shared" si="0"/>
        <v>120.8430122977925</v>
      </c>
      <c r="H10" s="22">
        <f t="shared" si="0"/>
        <v>108.19719989979941</v>
      </c>
      <c r="I10" s="22">
        <f t="shared" si="0"/>
        <v>98.06397309756899</v>
      </c>
      <c r="J10" s="22">
        <f t="shared" si="0"/>
        <v>89.675702777880232</v>
      </c>
      <c r="K10" s="22">
        <f t="shared" si="0"/>
        <v>82.565140672851825</v>
      </c>
      <c r="L10" s="22">
        <f t="shared" si="0"/>
        <v>76.428816357928341</v>
      </c>
      <c r="M10" s="22">
        <f t="shared" si="0"/>
        <v>71.058284725795488</v>
      </c>
      <c r="N10" s="22">
        <f t="shared" si="0"/>
        <v>66.303850216061761</v>
      </c>
      <c r="O10" s="22">
        <f t="shared" si="0"/>
        <v>62.054313013262828</v>
      </c>
      <c r="P10" s="22">
        <f t="shared" si="0"/>
        <v>58.224947721733642</v>
      </c>
      <c r="Q10" s="22">
        <f t="shared" si="0"/>
        <v>54.749932485256451</v>
      </c>
      <c r="R10" s="22">
        <f t="shared" si="0"/>
        <v>51.57732699634218</v>
      </c>
      <c r="S10" s="22">
        <f t="shared" si="0"/>
        <v>48.665599212969028</v>
      </c>
      <c r="T10" s="22">
        <f t="shared" si="0"/>
        <v>45.981145769200168</v>
      </c>
      <c r="U10" s="22">
        <f t="shared" si="0"/>
        <v>43.496479829987962</v>
      </c>
      <c r="V10" s="22">
        <f t="shared" si="0"/>
        <v>41.188883593315055</v>
      </c>
      <c r="W10" s="22">
        <f t="shared" si="0"/>
        <v>39.039393035413042</v>
      </c>
      <c r="X10" s="22">
        <f t="shared" si="0"/>
        <v>37.032024945010974</v>
      </c>
      <c r="Y10" s="22">
        <f t="shared" si="0"/>
        <v>35.153183246133096</v>
      </c>
      <c r="Z10" s="22">
        <f t="shared" si="0"/>
        <v>33.391199481701648</v>
      </c>
      <c r="AA10" s="22">
        <f t="shared" si="0"/>
        <v>31.73597459216225</v>
      </c>
      <c r="AB10" s="22">
        <f t="shared" si="0"/>
        <v>30.178697753948342</v>
      </c>
      <c r="AC10" s="22">
        <f t="shared" si="0"/>
        <v>28.711624232953881</v>
      </c>
      <c r="AD10" s="22">
        <f t="shared" si="0"/>
        <v>27.327898710854271</v>
      </c>
      <c r="AE10" s="22">
        <f t="shared" si="0"/>
        <v>26.021413852383489</v>
      </c>
      <c r="AF10" s="22">
        <f t="shared" si="0"/>
        <v>24.786696336088454</v>
      </c>
      <c r="AG10" s="22">
        <f t="shared" si="0"/>
        <v>23.61881440387782</v>
      </c>
    </row>
    <row r="11" spans="1:33" ht="15" customHeight="1" x14ac:dyDescent="0.3">
      <c r="A11" s="9" t="s">
        <v>381</v>
      </c>
      <c r="D11" s="21">
        <v>0</v>
      </c>
      <c r="E11" s="21">
        <v>0</v>
      </c>
      <c r="F11" s="21">
        <v>0</v>
      </c>
      <c r="G11" s="21">
        <v>0</v>
      </c>
      <c r="H11" s="21">
        <v>0</v>
      </c>
      <c r="I11" s="21">
        <v>0</v>
      </c>
      <c r="J11" s="21">
        <v>0</v>
      </c>
      <c r="K11" s="21">
        <v>0</v>
      </c>
      <c r="L11" s="21">
        <v>0</v>
      </c>
      <c r="M11" s="21">
        <v>0</v>
      </c>
      <c r="N11" s="21">
        <v>0</v>
      </c>
      <c r="O11" s="21">
        <v>0</v>
      </c>
      <c r="P11" s="21">
        <v>0</v>
      </c>
      <c r="Q11" s="21">
        <v>0</v>
      </c>
      <c r="R11" s="21">
        <v>0</v>
      </c>
      <c r="S11" s="21">
        <v>0</v>
      </c>
      <c r="T11" s="21">
        <v>0</v>
      </c>
      <c r="U11" s="21">
        <v>0</v>
      </c>
      <c r="V11" s="21">
        <v>0</v>
      </c>
      <c r="W11" s="21">
        <v>0</v>
      </c>
      <c r="X11" s="21">
        <v>0</v>
      </c>
      <c r="Y11" s="21">
        <v>0</v>
      </c>
      <c r="Z11" s="21">
        <v>0</v>
      </c>
      <c r="AA11" s="21">
        <v>0</v>
      </c>
      <c r="AB11" s="21">
        <v>0</v>
      </c>
      <c r="AC11" s="21">
        <v>0</v>
      </c>
      <c r="AD11" s="21">
        <v>0</v>
      </c>
      <c r="AE11" s="21">
        <v>0</v>
      </c>
      <c r="AF11" s="21">
        <v>0</v>
      </c>
      <c r="AG11" s="21">
        <v>0</v>
      </c>
    </row>
    <row r="12" spans="1:33" ht="15" customHeight="1" x14ac:dyDescent="0.3">
      <c r="A12" s="13" t="s">
        <v>212</v>
      </c>
      <c r="D12" s="22">
        <f t="shared" ref="D12:AG12" si="1">D10+D11</f>
        <v>22.2953425</v>
      </c>
      <c r="E12" s="22">
        <f t="shared" si="1"/>
        <v>66.897619925000001</v>
      </c>
      <c r="F12" s="22">
        <f t="shared" si="1"/>
        <v>113.85952700425</v>
      </c>
      <c r="G12" s="22">
        <f t="shared" si="1"/>
        <v>120.8430122977925</v>
      </c>
      <c r="H12" s="22">
        <f t="shared" si="1"/>
        <v>108.19719989979941</v>
      </c>
      <c r="I12" s="22">
        <f t="shared" si="1"/>
        <v>98.06397309756899</v>
      </c>
      <c r="J12" s="22">
        <f t="shared" si="1"/>
        <v>89.675702777880232</v>
      </c>
      <c r="K12" s="22">
        <f t="shared" si="1"/>
        <v>82.565140672851825</v>
      </c>
      <c r="L12" s="22">
        <f t="shared" si="1"/>
        <v>76.428816357928341</v>
      </c>
      <c r="M12" s="22">
        <f t="shared" si="1"/>
        <v>71.058284725795488</v>
      </c>
      <c r="N12" s="22">
        <f t="shared" si="1"/>
        <v>66.303850216061761</v>
      </c>
      <c r="O12" s="22">
        <f t="shared" si="1"/>
        <v>62.054313013262828</v>
      </c>
      <c r="P12" s="22">
        <f t="shared" si="1"/>
        <v>58.224947721733642</v>
      </c>
      <c r="Q12" s="22">
        <f t="shared" si="1"/>
        <v>54.749932485256451</v>
      </c>
      <c r="R12" s="22">
        <f t="shared" si="1"/>
        <v>51.57732699634218</v>
      </c>
      <c r="S12" s="22">
        <f t="shared" si="1"/>
        <v>48.665599212969028</v>
      </c>
      <c r="T12" s="22">
        <f t="shared" si="1"/>
        <v>45.981145769200168</v>
      </c>
      <c r="U12" s="22">
        <f t="shared" si="1"/>
        <v>43.496479829987962</v>
      </c>
      <c r="V12" s="22">
        <f t="shared" si="1"/>
        <v>41.188883593315055</v>
      </c>
      <c r="W12" s="22">
        <f t="shared" si="1"/>
        <v>39.039393035413042</v>
      </c>
      <c r="X12" s="22">
        <f t="shared" si="1"/>
        <v>37.032024945010974</v>
      </c>
      <c r="Y12" s="22">
        <f t="shared" si="1"/>
        <v>35.153183246133096</v>
      </c>
      <c r="Z12" s="22">
        <f t="shared" si="1"/>
        <v>33.391199481701648</v>
      </c>
      <c r="AA12" s="22">
        <f t="shared" si="1"/>
        <v>31.73597459216225</v>
      </c>
      <c r="AB12" s="22">
        <f t="shared" si="1"/>
        <v>30.178697753948342</v>
      </c>
      <c r="AC12" s="22">
        <f t="shared" si="1"/>
        <v>28.711624232953881</v>
      </c>
      <c r="AD12" s="22">
        <f t="shared" si="1"/>
        <v>27.327898710854271</v>
      </c>
      <c r="AE12" s="22">
        <f t="shared" si="1"/>
        <v>26.021413852383489</v>
      </c>
      <c r="AF12" s="22">
        <f t="shared" si="1"/>
        <v>24.786696336088454</v>
      </c>
      <c r="AG12" s="22">
        <f t="shared" si="1"/>
        <v>23.61881440387782</v>
      </c>
    </row>
    <row r="14" spans="1:33" ht="15" customHeight="1" x14ac:dyDescent="0.3">
      <c r="A14" s="51" t="s">
        <v>213</v>
      </c>
      <c r="B14" s="57"/>
      <c r="C14" s="57"/>
      <c r="D14" s="57"/>
      <c r="E14" s="57"/>
      <c r="F14" s="57"/>
      <c r="G14" s="57"/>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row>
    <row r="16" spans="1:33" ht="15" customHeight="1" x14ac:dyDescent="0.3">
      <c r="A16" s="9" t="s">
        <v>214</v>
      </c>
      <c r="D16" s="21">
        <f>Model!D25</f>
        <v>17.323236249999997</v>
      </c>
      <c r="E16" s="21">
        <f>Model!E25</f>
        <v>55.381393387946424</v>
      </c>
      <c r="F16" s="21">
        <f>Model!F25</f>
        <v>102.07410002043828</v>
      </c>
      <c r="G16" s="21">
        <f>Model!G25</f>
        <v>124.94099095047687</v>
      </c>
      <c r="H16" s="21">
        <f>Model!H25</f>
        <v>122.44680150541473</v>
      </c>
      <c r="I16" s="21">
        <f>Model!I25</f>
        <v>119.7735648894749</v>
      </c>
      <c r="J16" s="21">
        <f>Model!J25</f>
        <v>116.90842807360511</v>
      </c>
      <c r="K16" s="21">
        <f>Model!K25</f>
        <v>113.83761536488181</v>
      </c>
      <c r="L16" s="21">
        <f>Model!L25</f>
        <v>110.54636217242516</v>
      </c>
      <c r="M16" s="21">
        <f>Model!M25</f>
        <v>107.01884401865287</v>
      </c>
      <c r="N16" s="21">
        <f>Model!N25</f>
        <v>103.23810045455622</v>
      </c>
      <c r="O16" s="21">
        <f>Model!O25</f>
        <v>99.185953513179768</v>
      </c>
      <c r="P16" s="21">
        <f>Model!P25</f>
        <v>94.842920309225931</v>
      </c>
      <c r="Q16" s="21">
        <f>Model!Q25</f>
        <v>90.188119364559697</v>
      </c>
      <c r="R16" s="21">
        <f>Model!R25</f>
        <v>85.199170209222785</v>
      </c>
      <c r="S16" s="21">
        <f>Model!S25</f>
        <v>79.852085775234897</v>
      </c>
      <c r="T16" s="21">
        <f>Model!T25</f>
        <v>74.121157065807168</v>
      </c>
      <c r="U16" s="21">
        <f>Model!U25</f>
        <v>67.978829545452655</v>
      </c>
      <c r="V16" s="21">
        <f>Model!V25</f>
        <v>61.395570656672696</v>
      </c>
      <c r="W16" s="21">
        <f>Model!W25</f>
        <v>54.33972782623389</v>
      </c>
      <c r="X16" s="21">
        <f>Model!X25</f>
        <v>46.777376278324297</v>
      </c>
      <c r="Y16" s="21">
        <f>Model!Y25</f>
        <v>38.672155922868342</v>
      </c>
      <c r="Z16" s="21">
        <f>Model!Z25</f>
        <v>29.985096534752866</v>
      </c>
      <c r="AA16" s="21">
        <f>Model!AA25</f>
        <v>20.6744303834191</v>
      </c>
      <c r="AB16" s="21">
        <f>Model!AB25</f>
        <v>10.695391411936018</v>
      </c>
      <c r="AC16" s="21">
        <f>Model!AC25</f>
        <v>4.2632564145606011E-14</v>
      </c>
      <c r="AD16" s="21">
        <f>Model!AD25</f>
        <v>4.5692973214629874E-14</v>
      </c>
      <c r="AE16" s="21">
        <f>Model!AE25</f>
        <v>4.8973075934680089E-14</v>
      </c>
      <c r="AF16" s="21">
        <f>Model!AF25</f>
        <v>5.2488643171419623E-14</v>
      </c>
      <c r="AG16" s="21">
        <f>Model!AG25</f>
        <v>5.625657791336796E-14</v>
      </c>
    </row>
    <row r="17" spans="1:33" ht="15" customHeight="1" x14ac:dyDescent="0.3">
      <c r="A17" s="13" t="s">
        <v>215</v>
      </c>
      <c r="D17" s="22">
        <f t="shared" ref="D17:AG17" si="2">D12-D16</f>
        <v>4.9721062500000031</v>
      </c>
      <c r="E17" s="22">
        <f t="shared" si="2"/>
        <v>11.516226537053576</v>
      </c>
      <c r="F17" s="22">
        <f t="shared" si="2"/>
        <v>11.785426983811718</v>
      </c>
      <c r="G17" s="22">
        <f t="shared" si="2"/>
        <v>-4.0979786526843753</v>
      </c>
      <c r="H17" s="22">
        <f t="shared" si="2"/>
        <v>-14.249601605615311</v>
      </c>
      <c r="I17" s="22">
        <f t="shared" si="2"/>
        <v>-21.709591791905908</v>
      </c>
      <c r="J17" s="22">
        <f t="shared" si="2"/>
        <v>-27.232725295724876</v>
      </c>
      <c r="K17" s="22">
        <f t="shared" si="2"/>
        <v>-31.272474692029988</v>
      </c>
      <c r="L17" s="22">
        <f t="shared" si="2"/>
        <v>-34.117545814496822</v>
      </c>
      <c r="M17" s="22">
        <f t="shared" si="2"/>
        <v>-35.960559292857383</v>
      </c>
      <c r="N17" s="22">
        <f t="shared" si="2"/>
        <v>-36.934250238494457</v>
      </c>
      <c r="O17" s="22">
        <f t="shared" si="2"/>
        <v>-37.131640499916941</v>
      </c>
      <c r="P17" s="22">
        <f t="shared" si="2"/>
        <v>-36.617972587492289</v>
      </c>
      <c r="Q17" s="22">
        <f t="shared" si="2"/>
        <v>-35.438186879303245</v>
      </c>
      <c r="R17" s="22">
        <f t="shared" si="2"/>
        <v>-33.621843212880606</v>
      </c>
      <c r="S17" s="22">
        <f t="shared" si="2"/>
        <v>-31.18648656226587</v>
      </c>
      <c r="T17" s="22">
        <f t="shared" si="2"/>
        <v>-28.140011296607</v>
      </c>
      <c r="U17" s="22">
        <f t="shared" si="2"/>
        <v>-24.482349715464693</v>
      </c>
      <c r="V17" s="22">
        <f t="shared" si="2"/>
        <v>-20.206687063357641</v>
      </c>
      <c r="W17" s="22">
        <f t="shared" si="2"/>
        <v>-15.300334790820848</v>
      </c>
      <c r="X17" s="22">
        <f t="shared" si="2"/>
        <v>-9.745351333313323</v>
      </c>
      <c r="Y17" s="22">
        <f t="shared" si="2"/>
        <v>-3.5189726767352454</v>
      </c>
      <c r="Z17" s="22">
        <f t="shared" si="2"/>
        <v>3.4061029469487814</v>
      </c>
      <c r="AA17" s="22">
        <f t="shared" si="2"/>
        <v>11.06154420874315</v>
      </c>
      <c r="AB17" s="22">
        <f t="shared" si="2"/>
        <v>19.483306342012323</v>
      </c>
      <c r="AC17" s="22">
        <f t="shared" si="2"/>
        <v>28.711624232953838</v>
      </c>
      <c r="AD17" s="22">
        <f t="shared" si="2"/>
        <v>27.327898710854225</v>
      </c>
      <c r="AE17" s="22">
        <f t="shared" si="2"/>
        <v>26.021413852383439</v>
      </c>
      <c r="AF17" s="22">
        <f t="shared" si="2"/>
        <v>24.786696336088401</v>
      </c>
      <c r="AG17" s="22">
        <f t="shared" si="2"/>
        <v>23.618814403877764</v>
      </c>
    </row>
    <row r="18" spans="1:33" ht="15" customHeight="1" x14ac:dyDescent="0.3">
      <c r="A18" s="13" t="s">
        <v>216</v>
      </c>
      <c r="D18" s="22">
        <f t="shared" ref="D18:AG18" si="3">D16+D17</f>
        <v>22.2953425</v>
      </c>
      <c r="E18" s="22">
        <f t="shared" si="3"/>
        <v>66.897619925000001</v>
      </c>
      <c r="F18" s="22">
        <f t="shared" si="3"/>
        <v>113.85952700425</v>
      </c>
      <c r="G18" s="22">
        <f t="shared" si="3"/>
        <v>120.8430122977925</v>
      </c>
      <c r="H18" s="22">
        <f t="shared" si="3"/>
        <v>108.19719989979941</v>
      </c>
      <c r="I18" s="22">
        <f t="shared" si="3"/>
        <v>98.06397309756899</v>
      </c>
      <c r="J18" s="22">
        <f t="shared" si="3"/>
        <v>89.675702777880232</v>
      </c>
      <c r="K18" s="22">
        <f t="shared" si="3"/>
        <v>82.565140672851825</v>
      </c>
      <c r="L18" s="22">
        <f t="shared" si="3"/>
        <v>76.428816357928341</v>
      </c>
      <c r="M18" s="22">
        <f t="shared" si="3"/>
        <v>71.058284725795488</v>
      </c>
      <c r="N18" s="22">
        <f t="shared" si="3"/>
        <v>66.303850216061761</v>
      </c>
      <c r="O18" s="22">
        <f t="shared" si="3"/>
        <v>62.054313013262828</v>
      </c>
      <c r="P18" s="22">
        <f t="shared" si="3"/>
        <v>58.224947721733642</v>
      </c>
      <c r="Q18" s="22">
        <f t="shared" si="3"/>
        <v>54.749932485256451</v>
      </c>
      <c r="R18" s="22">
        <f t="shared" si="3"/>
        <v>51.57732699634218</v>
      </c>
      <c r="S18" s="22">
        <f t="shared" si="3"/>
        <v>48.665599212969028</v>
      </c>
      <c r="T18" s="22">
        <f t="shared" si="3"/>
        <v>45.981145769200168</v>
      </c>
      <c r="U18" s="22">
        <f t="shared" si="3"/>
        <v>43.496479829987962</v>
      </c>
      <c r="V18" s="22">
        <f t="shared" si="3"/>
        <v>41.188883593315055</v>
      </c>
      <c r="W18" s="22">
        <f t="shared" si="3"/>
        <v>39.039393035413042</v>
      </c>
      <c r="X18" s="22">
        <f t="shared" si="3"/>
        <v>37.032024945010974</v>
      </c>
      <c r="Y18" s="22">
        <f t="shared" si="3"/>
        <v>35.153183246133096</v>
      </c>
      <c r="Z18" s="22">
        <f t="shared" si="3"/>
        <v>33.391199481701648</v>
      </c>
      <c r="AA18" s="22">
        <f t="shared" si="3"/>
        <v>31.73597459216225</v>
      </c>
      <c r="AB18" s="22">
        <f t="shared" si="3"/>
        <v>30.178697753948342</v>
      </c>
      <c r="AC18" s="22">
        <f t="shared" si="3"/>
        <v>28.711624232953881</v>
      </c>
      <c r="AD18" s="22">
        <f t="shared" si="3"/>
        <v>27.327898710854271</v>
      </c>
      <c r="AE18" s="22">
        <f t="shared" si="3"/>
        <v>26.021413852383489</v>
      </c>
      <c r="AF18" s="22">
        <f t="shared" si="3"/>
        <v>24.786696336088454</v>
      </c>
      <c r="AG18" s="22">
        <f t="shared" si="3"/>
        <v>23.61881440387782</v>
      </c>
    </row>
    <row r="20" spans="1:33" x14ac:dyDescent="0.3">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row>
  </sheetData>
  <mergeCells count="1">
    <mergeCell ref="A1:L1"/>
  </mergeCells>
  <pageMargins left="0.3" right="0.3" top="0.5" bottom="0.5" header="0.2" footer="0.2"/>
  <pageSetup paperSize="9" fitToHeight="0" orientation="landscape" horizontalDpi="300" verticalDpi="300"/>
  <headerFooter>
    <oddHeader>&amp;CBalance Sheet (Case B)</oddHeader>
    <oddFooter>&amp;RPage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7"/>
  <sheetViews>
    <sheetView showGridLines="0" view="pageBreakPreview" zoomScaleNormal="100" zoomScaleSheetLayoutView="100" workbookViewId="0">
      <selection activeCell="A59" sqref="A59:F63"/>
    </sheetView>
  </sheetViews>
  <sheetFormatPr defaultColWidth="8.6328125" defaultRowHeight="14" x14ac:dyDescent="0.3"/>
  <cols>
    <col min="1" max="1" width="65.1796875" style="9" customWidth="1"/>
    <col min="2" max="2" width="10.7265625" style="9" bestFit="1" customWidth="1"/>
    <col min="3" max="3" width="7.36328125" style="9" bestFit="1" customWidth="1"/>
    <col min="4" max="4" width="3" style="9" customWidth="1"/>
    <col min="5" max="5" width="40" style="9" customWidth="1"/>
    <col min="6" max="16384" width="8.6328125" style="9"/>
  </cols>
  <sheetData>
    <row r="1" spans="1:5" ht="17.25" customHeight="1" thickBot="1" x14ac:dyDescent="0.35">
      <c r="A1" s="90" t="s">
        <v>387</v>
      </c>
      <c r="B1" s="91"/>
      <c r="C1" s="91"/>
      <c r="D1" s="92"/>
      <c r="E1" s="46"/>
    </row>
    <row r="3" spans="1:5" ht="15" customHeight="1" x14ac:dyDescent="0.3">
      <c r="A3" s="95" t="s">
        <v>217</v>
      </c>
      <c r="B3" s="95"/>
      <c r="C3" s="95"/>
    </row>
    <row r="4" spans="1:5" ht="15" customHeight="1" x14ac:dyDescent="0.3">
      <c r="A4" s="9" t="s">
        <v>218</v>
      </c>
      <c r="B4" s="12">
        <f>SUM(Model!D73:AG73)</f>
        <v>155</v>
      </c>
    </row>
    <row r="5" spans="1:5" ht="15" customHeight="1" x14ac:dyDescent="0.3">
      <c r="A5" s="9" t="s">
        <v>219</v>
      </c>
      <c r="B5" s="12">
        <f>B4*Assumptions!$B$62</f>
        <v>108.5</v>
      </c>
    </row>
    <row r="6" spans="1:5" ht="15" customHeight="1" x14ac:dyDescent="0.3">
      <c r="A6" s="9" t="s">
        <v>220</v>
      </c>
      <c r="B6" s="12">
        <f>B4*Assumptions!$B$61</f>
        <v>46.5</v>
      </c>
    </row>
    <row r="8" spans="1:5" ht="15" customHeight="1" x14ac:dyDescent="0.3">
      <c r="A8" s="95" t="s">
        <v>383</v>
      </c>
      <c r="B8" s="95"/>
      <c r="C8" s="95"/>
    </row>
    <row r="9" spans="1:5" ht="15" customHeight="1" x14ac:dyDescent="0.3">
      <c r="B9" s="13" t="s">
        <v>221</v>
      </c>
      <c r="C9" s="13" t="s">
        <v>222</v>
      </c>
    </row>
    <row r="10" spans="1:5" ht="15" customHeight="1" x14ac:dyDescent="0.3">
      <c r="A10" s="9" t="s">
        <v>223</v>
      </c>
      <c r="B10" s="14">
        <f>MIN(Model!D56:AG56)</f>
        <v>-1.0731361947329492</v>
      </c>
      <c r="C10" s="14">
        <f>MIN(Model!D66:AG66)</f>
        <v>1.5046072055360185</v>
      </c>
    </row>
    <row r="11" spans="1:5" ht="15" customHeight="1" x14ac:dyDescent="0.3">
      <c r="A11" s="9" t="s">
        <v>224</v>
      </c>
      <c r="B11" s="15">
        <f>AVERAGE(Model!D56:AG56)</f>
        <v>0.10975961962040999</v>
      </c>
      <c r="C11" s="15">
        <f>AVERAGE(Model!D66:AG66)</f>
        <v>1.6497623546956115</v>
      </c>
    </row>
    <row r="12" spans="1:5" ht="15" customHeight="1" x14ac:dyDescent="0.3">
      <c r="A12" s="9" t="s">
        <v>225</v>
      </c>
      <c r="B12" s="16">
        <f>IFERROR(IRR(Model!D57:AG57,-0.5),"N/M (neg. equity CF for 25+ yrs)")</f>
        <v>-0.12159604063372631</v>
      </c>
      <c r="C12" s="16">
        <f>IFERROR(IRR(Model!D67:AG67,-0.2),"N/M")</f>
        <v>0.13503207570273013</v>
      </c>
    </row>
    <row r="13" spans="1:5" ht="15" customHeight="1" x14ac:dyDescent="0.3">
      <c r="A13" s="9" t="s">
        <v>226</v>
      </c>
      <c r="B13" s="12">
        <f>SUMIF(Model!D57:AG57,"&gt;0")</f>
        <v>40.474490725463156</v>
      </c>
      <c r="C13" s="12">
        <f>SUMIF(Model!D67:AG67,"&gt;0")</f>
        <v>268.02944134514155</v>
      </c>
    </row>
    <row r="15" spans="1:5" ht="15" customHeight="1" x14ac:dyDescent="0.3">
      <c r="A15" s="95" t="s">
        <v>227</v>
      </c>
      <c r="B15" s="95"/>
      <c r="C15" s="95"/>
    </row>
    <row r="16" spans="1:5" ht="15" customHeight="1" x14ac:dyDescent="0.3">
      <c r="A16" s="9" t="s">
        <v>228</v>
      </c>
      <c r="B16" s="12">
        <f>INDEX(Model!D61:AG61,10)</f>
        <v>20.277156412734339</v>
      </c>
    </row>
    <row r="17" spans="1:4" ht="15" customHeight="1" x14ac:dyDescent="0.3">
      <c r="A17" s="9" t="s">
        <v>229</v>
      </c>
      <c r="B17" s="12">
        <f>MAX(Model!D61:AG61)</f>
        <v>34.216816618336118</v>
      </c>
    </row>
    <row r="18" spans="1:4" ht="15" customHeight="1" x14ac:dyDescent="0.3">
      <c r="A18" s="9" t="s">
        <v>230</v>
      </c>
      <c r="B18" s="12">
        <f>SUM(Model!D61:AG61)</f>
        <v>480.2158369643073</v>
      </c>
    </row>
    <row r="20" spans="1:4" ht="15" customHeight="1" x14ac:dyDescent="0.3">
      <c r="A20" s="95" t="s">
        <v>385</v>
      </c>
      <c r="B20" s="95"/>
      <c r="C20" s="95"/>
    </row>
    <row r="21" spans="1:4" ht="15" customHeight="1" x14ac:dyDescent="0.3">
      <c r="A21" s="9" t="s">
        <v>231</v>
      </c>
      <c r="B21" s="12">
        <f>INDEX(Model!D40:AG40,15)</f>
        <v>49.64545211841326</v>
      </c>
    </row>
    <row r="22" spans="1:4" ht="15" customHeight="1" x14ac:dyDescent="0.3">
      <c r="A22" s="9" t="s">
        <v>232</v>
      </c>
      <c r="B22" s="12">
        <f>INDEX(Model!D48:AG48,15)</f>
        <v>46.84008216528035</v>
      </c>
    </row>
    <row r="24" spans="1:4" ht="15" customHeight="1" x14ac:dyDescent="0.3">
      <c r="A24" s="94" t="s">
        <v>384</v>
      </c>
      <c r="B24" s="94"/>
      <c r="C24" s="94"/>
      <c r="D24" s="94"/>
    </row>
    <row r="25" spans="1:4" ht="15" customHeight="1" x14ac:dyDescent="0.3">
      <c r="A25" s="94"/>
      <c r="B25" s="94"/>
      <c r="C25" s="94"/>
      <c r="D25" s="94"/>
    </row>
    <row r="27" spans="1:4" ht="15" customHeight="1" x14ac:dyDescent="0.3">
      <c r="A27" s="95" t="s">
        <v>233</v>
      </c>
      <c r="B27" s="95"/>
      <c r="C27" s="95"/>
    </row>
    <row r="28" spans="1:4" ht="15" customHeight="1" x14ac:dyDescent="0.3">
      <c r="B28" s="13" t="s">
        <v>221</v>
      </c>
      <c r="C28" s="13" t="s">
        <v>222</v>
      </c>
    </row>
    <row r="29" spans="1:4" ht="15" customHeight="1" x14ac:dyDescent="0.3">
      <c r="A29" s="9" t="s">
        <v>234</v>
      </c>
      <c r="B29" s="12">
        <f>NPV(Assumptions!$B$98,Model!D57:AG57)</f>
        <v>-89.434493097677418</v>
      </c>
      <c r="C29" s="17">
        <f>NPV(Assumptions!$B$98,Model!D67:AG67)</f>
        <v>9.5389159521145732E-3</v>
      </c>
    </row>
    <row r="30" spans="1:4" ht="15" customHeight="1" x14ac:dyDescent="0.3">
      <c r="A30" s="9" t="s">
        <v>235</v>
      </c>
      <c r="B30" s="18">
        <f>B12</f>
        <v>-0.12159604063372631</v>
      </c>
      <c r="C30" s="18">
        <f>C12</f>
        <v>0.13503207570273013</v>
      </c>
    </row>
    <row r="31" spans="1:4" ht="15" customHeight="1" x14ac:dyDescent="0.3">
      <c r="A31" s="9" t="s">
        <v>236</v>
      </c>
      <c r="B31" s="9" t="str">
        <f>IFERROR(MATCH(TRUE(),INDEX(Model!D101:AG101&gt;0,0),0),"N/M (never)")</f>
        <v>N/M (never)</v>
      </c>
      <c r="C31" s="19">
        <f>MATCH(TRUE(),INDEX(Model!D102:AG102&gt;0,0),0)</f>
        <v>10</v>
      </c>
    </row>
    <row r="32" spans="1:4" ht="15" customHeight="1" x14ac:dyDescent="0.3">
      <c r="A32" s="9" t="s">
        <v>237</v>
      </c>
      <c r="C32" s="45">
        <f>MATCH(TRUE(),INDEX(Model!D103:AG103&gt;0,0),0)</f>
        <v>30</v>
      </c>
    </row>
    <row r="34" spans="1:3" ht="15" customHeight="1" x14ac:dyDescent="0.3">
      <c r="A34" s="95" t="s">
        <v>386</v>
      </c>
      <c r="B34" s="95"/>
      <c r="C34" s="95"/>
    </row>
    <row r="35" spans="1:3" ht="15" customHeight="1" x14ac:dyDescent="0.3">
      <c r="A35" s="9" t="s">
        <v>238</v>
      </c>
      <c r="B35" s="14">
        <f>MIN(Model!D107:AG107)</f>
        <v>0.77837031956793368</v>
      </c>
    </row>
    <row r="36" spans="1:3" ht="15" customHeight="1" x14ac:dyDescent="0.3">
      <c r="A36" s="9" t="s">
        <v>239</v>
      </c>
      <c r="B36" s="15">
        <f>MIN(Model!D108:AG108)</f>
        <v>1.6369774903065542</v>
      </c>
    </row>
    <row r="37" spans="1:3" ht="15" customHeight="1" x14ac:dyDescent="0.3">
      <c r="A37" s="9" t="s">
        <v>240</v>
      </c>
      <c r="B37" s="20">
        <f>NPV(0.06,Model!D61:AG61)</f>
        <v>212.2115691505164</v>
      </c>
    </row>
  </sheetData>
  <mergeCells count="8">
    <mergeCell ref="A24:D25"/>
    <mergeCell ref="A27:C27"/>
    <mergeCell ref="A34:C34"/>
    <mergeCell ref="A1:D1"/>
    <mergeCell ref="A3:C3"/>
    <mergeCell ref="A8:C8"/>
    <mergeCell ref="A15:C15"/>
    <mergeCell ref="A20:C20"/>
  </mergeCells>
  <pageMargins left="0.7" right="0.7" top="0.75" bottom="0.75" header="0.3" footer="0.3"/>
  <pageSetup paperSize="9" fitToHeight="0" orientation="portrait" horizontalDpi="300" verticalDpi="300" r:id="rId1"/>
  <headerFooter>
    <oddHeader>&amp;CSummary</oddHeader>
    <oddFooter>&amp;RPage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8"/>
  <sheetViews>
    <sheetView showGridLines="0" view="pageBreakPreview" zoomScale="90" zoomScaleNormal="100" zoomScaleSheetLayoutView="90" workbookViewId="0">
      <selection activeCell="A59" sqref="A59:F63"/>
    </sheetView>
  </sheetViews>
  <sheetFormatPr defaultColWidth="8.6328125" defaultRowHeight="14.5" x14ac:dyDescent="0.35"/>
  <cols>
    <col min="1" max="1" width="42.26953125" customWidth="1"/>
    <col min="2" max="2" width="12.54296875" customWidth="1"/>
    <col min="3" max="3" width="12.26953125" customWidth="1"/>
    <col min="4" max="4" width="13.36328125" customWidth="1"/>
    <col min="5" max="5" width="15.453125" bestFit="1" customWidth="1"/>
  </cols>
  <sheetData>
    <row r="1" spans="1:5" ht="17.25" customHeight="1" thickBot="1" x14ac:dyDescent="0.4">
      <c r="A1" s="90" t="s">
        <v>241</v>
      </c>
      <c r="B1" s="91"/>
      <c r="C1" s="91"/>
      <c r="D1" s="91"/>
      <c r="E1" s="91"/>
    </row>
    <row r="2" spans="1:5" ht="15" customHeight="1" x14ac:dyDescent="0.35"/>
    <row r="3" spans="1:5" ht="15" thickBot="1" x14ac:dyDescent="0.4"/>
    <row r="4" spans="1:5" ht="28.5" thickBot="1" x14ac:dyDescent="0.4">
      <c r="A4" s="1" t="s">
        <v>242</v>
      </c>
      <c r="B4" s="62" t="s">
        <v>243</v>
      </c>
      <c r="C4" s="63" t="s">
        <v>244</v>
      </c>
      <c r="D4" s="63" t="s">
        <v>245</v>
      </c>
      <c r="E4" s="63" t="s">
        <v>246</v>
      </c>
    </row>
    <row r="5" spans="1:5" ht="15" customHeight="1" x14ac:dyDescent="0.35">
      <c r="A5" s="7" t="s">
        <v>247</v>
      </c>
      <c r="B5" s="3">
        <v>-1.0731361947329501</v>
      </c>
      <c r="C5" s="3">
        <v>1.50460720553602</v>
      </c>
      <c r="D5" s="4">
        <v>0.13503207572482401</v>
      </c>
      <c r="E5" s="6">
        <v>20.2771564127343</v>
      </c>
    </row>
    <row r="7" spans="1:5" ht="15" customHeight="1" x14ac:dyDescent="0.35">
      <c r="A7" t="s">
        <v>248</v>
      </c>
      <c r="B7" s="2">
        <v>-1.4548530240234501</v>
      </c>
      <c r="C7" s="2">
        <v>1.4809547340815901</v>
      </c>
      <c r="D7" s="5">
        <v>0.129991259936722</v>
      </c>
      <c r="E7" s="8">
        <v>27.483624264394699</v>
      </c>
    </row>
    <row r="9" spans="1:5" ht="15" customHeight="1" x14ac:dyDescent="0.35">
      <c r="A9" t="s">
        <v>249</v>
      </c>
      <c r="B9" s="2">
        <v>-0.91456177808544104</v>
      </c>
      <c r="C9" s="2">
        <v>1.43369046061733</v>
      </c>
      <c r="D9" s="5">
        <v>0.123598356730437</v>
      </c>
      <c r="E9" s="8">
        <v>22.960390056144</v>
      </c>
    </row>
    <row r="11" spans="1:5" ht="15" customHeight="1" x14ac:dyDescent="0.35">
      <c r="A11" t="s">
        <v>250</v>
      </c>
      <c r="B11" s="2">
        <v>-0.92553392324319494</v>
      </c>
      <c r="C11" s="2">
        <v>1.4383019773197401</v>
      </c>
      <c r="D11" s="5">
        <v>0.140519218786335</v>
      </c>
      <c r="E11" s="8">
        <v>22.745122086659499</v>
      </c>
    </row>
    <row r="14" spans="1:5" ht="15" customHeight="1" x14ac:dyDescent="0.35">
      <c r="A14" s="64" t="s">
        <v>389</v>
      </c>
    </row>
    <row r="15" spans="1:5" ht="15" customHeight="1" x14ac:dyDescent="0.35">
      <c r="A15" s="97" t="s">
        <v>390</v>
      </c>
      <c r="B15" s="97"/>
      <c r="C15" s="97"/>
      <c r="D15" s="97"/>
      <c r="E15" s="97"/>
    </row>
    <row r="16" spans="1:5" ht="15" customHeight="1" x14ac:dyDescent="0.35">
      <c r="A16" s="97"/>
      <c r="B16" s="97"/>
      <c r="C16" s="97"/>
      <c r="D16" s="97"/>
      <c r="E16" s="97"/>
    </row>
    <row r="17" spans="1:5" ht="15" customHeight="1" x14ac:dyDescent="0.35">
      <c r="A17" s="97" t="s">
        <v>391</v>
      </c>
      <c r="B17" s="97"/>
      <c r="C17" s="97"/>
      <c r="D17" s="97"/>
      <c r="E17" s="97"/>
    </row>
    <row r="18" spans="1:5" ht="15" customHeight="1" x14ac:dyDescent="0.35">
      <c r="A18" s="97"/>
      <c r="B18" s="97"/>
      <c r="C18" s="97"/>
      <c r="D18" s="97"/>
      <c r="E18" s="97"/>
    </row>
    <row r="19" spans="1:5" ht="15" customHeight="1" x14ac:dyDescent="0.35">
      <c r="A19" s="97"/>
      <c r="B19" s="97"/>
      <c r="C19" s="97"/>
      <c r="D19" s="97"/>
      <c r="E19" s="97"/>
    </row>
    <row r="20" spans="1:5" ht="15" customHeight="1" x14ac:dyDescent="0.35">
      <c r="A20" s="97"/>
      <c r="B20" s="97"/>
      <c r="C20" s="97"/>
      <c r="D20" s="97"/>
      <c r="E20" s="97"/>
    </row>
    <row r="21" spans="1:5" ht="15" customHeight="1" x14ac:dyDescent="0.35"/>
    <row r="22" spans="1:5" ht="15" customHeight="1" x14ac:dyDescent="0.35">
      <c r="A22" s="98" t="s">
        <v>392</v>
      </c>
      <c r="B22" s="98"/>
      <c r="C22" s="98"/>
      <c r="D22" s="98"/>
      <c r="E22" s="98"/>
    </row>
    <row r="23" spans="1:5" ht="15" customHeight="1" x14ac:dyDescent="0.35">
      <c r="A23" s="98"/>
      <c r="B23" s="98"/>
      <c r="C23" s="98"/>
      <c r="D23" s="98"/>
      <c r="E23" s="98"/>
    </row>
    <row r="24" spans="1:5" ht="15" customHeight="1" x14ac:dyDescent="0.35">
      <c r="A24" s="98"/>
      <c r="B24" s="98"/>
      <c r="C24" s="98"/>
      <c r="D24" s="98"/>
      <c r="E24" s="98"/>
    </row>
    <row r="27" spans="1:5" x14ac:dyDescent="0.35">
      <c r="A27" s="96" t="s">
        <v>388</v>
      </c>
      <c r="B27" s="96"/>
      <c r="C27" s="96"/>
      <c r="D27" s="96"/>
      <c r="E27" s="96"/>
    </row>
    <row r="28" spans="1:5" x14ac:dyDescent="0.35">
      <c r="A28" s="96"/>
      <c r="B28" s="96"/>
      <c r="C28" s="96"/>
      <c r="D28" s="96"/>
      <c r="E28" s="96"/>
    </row>
  </sheetData>
  <mergeCells count="5">
    <mergeCell ref="A27:E28"/>
    <mergeCell ref="A15:E16"/>
    <mergeCell ref="A17:E20"/>
    <mergeCell ref="A22:E24"/>
    <mergeCell ref="A1:E1"/>
  </mergeCells>
  <pageMargins left="0.3" right="0.3" top="0.5" bottom="0.5" header="0.2" footer="0.2"/>
  <pageSetup paperSize="9" fitToHeight="0" orientation="portrait" horizontalDpi="300" verticalDpi="300" r:id="rId1"/>
  <headerFooter>
    <oddHeader>&amp;CSensitivity Analysis</oddHeader>
    <oddFooter>&amp;RPage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63"/>
  <sheetViews>
    <sheetView showGridLines="0" view="pageBreakPreview" topLeftCell="A19" zoomScaleNormal="100" zoomScaleSheetLayoutView="100" workbookViewId="0">
      <selection activeCell="A18" sqref="A18:B21"/>
    </sheetView>
  </sheetViews>
  <sheetFormatPr defaultColWidth="8.6328125" defaultRowHeight="14.5" x14ac:dyDescent="0.35"/>
  <cols>
    <col min="1" max="1" width="78.54296875" customWidth="1"/>
  </cols>
  <sheetData>
    <row r="1" spans="1:2" ht="14.5" customHeight="1" x14ac:dyDescent="0.35">
      <c r="A1" s="81" t="s">
        <v>251</v>
      </c>
      <c r="B1" s="83"/>
    </row>
    <row r="2" spans="1:2" ht="19.5" customHeight="1" thickBot="1" x14ac:dyDescent="0.4">
      <c r="A2" s="84"/>
      <c r="B2" s="86"/>
    </row>
    <row r="3" spans="1:2" ht="15" customHeight="1" x14ac:dyDescent="0.35"/>
    <row r="4" spans="1:2" ht="15" customHeight="1" x14ac:dyDescent="0.35">
      <c r="A4" s="65" t="s">
        <v>252</v>
      </c>
    </row>
    <row r="5" spans="1:2" ht="15" customHeight="1" x14ac:dyDescent="0.35">
      <c r="A5" s="99" t="s">
        <v>393</v>
      </c>
      <c r="B5" s="99"/>
    </row>
    <row r="6" spans="1:2" ht="15" customHeight="1" x14ac:dyDescent="0.35">
      <c r="A6" s="99"/>
      <c r="B6" s="99"/>
    </row>
    <row r="7" spans="1:2" ht="15" customHeight="1" x14ac:dyDescent="0.35">
      <c r="A7" s="99"/>
      <c r="B7" s="99"/>
    </row>
    <row r="8" spans="1:2" ht="15" customHeight="1" x14ac:dyDescent="0.35">
      <c r="A8" s="99"/>
      <c r="B8" s="99"/>
    </row>
    <row r="9" spans="1:2" ht="15" customHeight="1" x14ac:dyDescent="0.35">
      <c r="A9" s="99"/>
      <c r="B9" s="99"/>
    </row>
    <row r="10" spans="1:2" ht="15" customHeight="1" x14ac:dyDescent="0.35"/>
    <row r="11" spans="1:2" ht="15" customHeight="1" x14ac:dyDescent="0.35">
      <c r="A11" s="65" t="s">
        <v>253</v>
      </c>
    </row>
    <row r="12" spans="1:2" ht="15" customHeight="1" x14ac:dyDescent="0.35">
      <c r="A12" s="65" t="s">
        <v>254</v>
      </c>
    </row>
    <row r="13" spans="1:2" ht="15" customHeight="1" x14ac:dyDescent="0.35">
      <c r="A13" s="99" t="s">
        <v>394</v>
      </c>
      <c r="B13" s="99"/>
    </row>
    <row r="14" spans="1:2" ht="20.5" customHeight="1" x14ac:dyDescent="0.35">
      <c r="A14" s="99"/>
      <c r="B14" s="99"/>
    </row>
    <row r="15" spans="1:2" ht="15" customHeight="1" x14ac:dyDescent="0.35">
      <c r="A15" s="99"/>
      <c r="B15" s="99"/>
    </row>
    <row r="16" spans="1:2" ht="15" customHeight="1" x14ac:dyDescent="0.35"/>
    <row r="17" spans="1:2" ht="15" customHeight="1" x14ac:dyDescent="0.35">
      <c r="A17" s="65" t="s">
        <v>255</v>
      </c>
    </row>
    <row r="18" spans="1:2" ht="15" customHeight="1" x14ac:dyDescent="0.35">
      <c r="A18" s="100" t="s">
        <v>395</v>
      </c>
      <c r="B18" s="100"/>
    </row>
    <row r="19" spans="1:2" ht="15" customHeight="1" x14ac:dyDescent="0.35">
      <c r="A19" s="100"/>
      <c r="B19" s="100"/>
    </row>
    <row r="20" spans="1:2" ht="15" customHeight="1" x14ac:dyDescent="0.35">
      <c r="A20" s="100"/>
      <c r="B20" s="100"/>
    </row>
    <row r="21" spans="1:2" ht="15" customHeight="1" x14ac:dyDescent="0.35">
      <c r="A21" s="100"/>
      <c r="B21" s="100"/>
    </row>
    <row r="22" spans="1:2" ht="15" customHeight="1" x14ac:dyDescent="0.35"/>
    <row r="23" spans="1:2" ht="15" customHeight="1" x14ac:dyDescent="0.35">
      <c r="A23" s="65" t="s">
        <v>256</v>
      </c>
    </row>
    <row r="24" spans="1:2" ht="15" customHeight="1" x14ac:dyDescent="0.35">
      <c r="A24" s="100" t="s">
        <v>396</v>
      </c>
      <c r="B24" s="100"/>
    </row>
    <row r="25" spans="1:2" ht="15" customHeight="1" x14ac:dyDescent="0.35">
      <c r="A25" s="100"/>
      <c r="B25" s="100"/>
    </row>
    <row r="26" spans="1:2" ht="15" customHeight="1" x14ac:dyDescent="0.35">
      <c r="A26" s="100"/>
      <c r="B26" s="100"/>
    </row>
    <row r="27" spans="1:2" ht="15" customHeight="1" x14ac:dyDescent="0.35"/>
    <row r="28" spans="1:2" ht="15" customHeight="1" x14ac:dyDescent="0.35">
      <c r="A28" s="65" t="s">
        <v>257</v>
      </c>
    </row>
    <row r="29" spans="1:2" ht="15" customHeight="1" x14ac:dyDescent="0.35">
      <c r="A29" s="99" t="s">
        <v>397</v>
      </c>
      <c r="B29" s="99"/>
    </row>
    <row r="30" spans="1:2" ht="15" customHeight="1" x14ac:dyDescent="0.35">
      <c r="A30" s="99"/>
      <c r="B30" s="99"/>
    </row>
    <row r="31" spans="1:2" ht="15" customHeight="1" x14ac:dyDescent="0.35">
      <c r="A31" s="99"/>
      <c r="B31" s="99"/>
    </row>
    <row r="32" spans="1:2" ht="15" customHeight="1" x14ac:dyDescent="0.35">
      <c r="A32" s="99"/>
      <c r="B32" s="99"/>
    </row>
    <row r="33" spans="1:2" ht="15" customHeight="1" x14ac:dyDescent="0.35"/>
    <row r="34" spans="1:2" ht="15" customHeight="1" x14ac:dyDescent="0.35">
      <c r="A34" s="65" t="s">
        <v>258</v>
      </c>
    </row>
    <row r="35" spans="1:2" ht="15" customHeight="1" x14ac:dyDescent="0.35">
      <c r="A35" s="99" t="s">
        <v>398</v>
      </c>
      <c r="B35" s="99"/>
    </row>
    <row r="36" spans="1:2" ht="15" customHeight="1" x14ac:dyDescent="0.35">
      <c r="A36" s="99"/>
      <c r="B36" s="99"/>
    </row>
    <row r="37" spans="1:2" ht="15" customHeight="1" x14ac:dyDescent="0.35">
      <c r="A37" s="99"/>
      <c r="B37" s="99"/>
    </row>
    <row r="38" spans="1:2" ht="15" customHeight="1" x14ac:dyDescent="0.35">
      <c r="A38" s="99"/>
      <c r="B38" s="99"/>
    </row>
    <row r="39" spans="1:2" ht="15" customHeight="1" x14ac:dyDescent="0.35"/>
    <row r="40" spans="1:2" ht="15" customHeight="1" x14ac:dyDescent="0.35">
      <c r="A40" s="65" t="s">
        <v>259</v>
      </c>
    </row>
    <row r="41" spans="1:2" ht="15" customHeight="1" x14ac:dyDescent="0.35">
      <c r="A41" s="99" t="s">
        <v>399</v>
      </c>
      <c r="B41" s="99"/>
    </row>
    <row r="42" spans="1:2" ht="15" customHeight="1" x14ac:dyDescent="0.35">
      <c r="A42" s="99"/>
      <c r="B42" s="99"/>
    </row>
    <row r="43" spans="1:2" ht="15" customHeight="1" x14ac:dyDescent="0.35">
      <c r="A43" s="99"/>
      <c r="B43" s="99"/>
    </row>
    <row r="44" spans="1:2" ht="15" customHeight="1" x14ac:dyDescent="0.35"/>
    <row r="45" spans="1:2" ht="15" customHeight="1" x14ac:dyDescent="0.35">
      <c r="A45" s="65" t="s">
        <v>260</v>
      </c>
    </row>
    <row r="46" spans="1:2" ht="15" customHeight="1" x14ac:dyDescent="0.35">
      <c r="A46" s="101" t="s">
        <v>400</v>
      </c>
      <c r="B46" s="101"/>
    </row>
    <row r="47" spans="1:2" ht="15" customHeight="1" x14ac:dyDescent="0.35">
      <c r="A47" s="101"/>
      <c r="B47" s="101"/>
    </row>
    <row r="48" spans="1:2" ht="15" customHeight="1" x14ac:dyDescent="0.35">
      <c r="A48" s="101"/>
      <c r="B48" s="101"/>
    </row>
    <row r="49" spans="1:2" ht="15" customHeight="1" x14ac:dyDescent="0.35">
      <c r="A49" s="101"/>
      <c r="B49" s="101"/>
    </row>
    <row r="50" spans="1:2" ht="15" customHeight="1" x14ac:dyDescent="0.35">
      <c r="A50" s="101"/>
      <c r="B50" s="101"/>
    </row>
    <row r="52" spans="1:2" ht="15" customHeight="1" x14ac:dyDescent="0.35">
      <c r="A52" s="65" t="s">
        <v>261</v>
      </c>
    </row>
    <row r="53" spans="1:2" ht="15" customHeight="1" x14ac:dyDescent="0.35">
      <c r="A53" s="99" t="s">
        <v>401</v>
      </c>
      <c r="B53" s="99"/>
    </row>
    <row r="54" spans="1:2" ht="15" customHeight="1" x14ac:dyDescent="0.35">
      <c r="A54" s="99"/>
      <c r="B54" s="99"/>
    </row>
    <row r="55" spans="1:2" ht="15" customHeight="1" x14ac:dyDescent="0.35">
      <c r="A55" s="99"/>
      <c r="B55" s="99"/>
    </row>
    <row r="56" spans="1:2" ht="15" customHeight="1" x14ac:dyDescent="0.35">
      <c r="A56" s="99"/>
      <c r="B56" s="99"/>
    </row>
    <row r="57" spans="1:2" ht="15" customHeight="1" x14ac:dyDescent="0.35">
      <c r="A57" s="99"/>
      <c r="B57" s="99"/>
    </row>
    <row r="59" spans="1:2" ht="15" customHeight="1" x14ac:dyDescent="0.35">
      <c r="A59" s="99" t="s">
        <v>402</v>
      </c>
      <c r="B59" s="99"/>
    </row>
    <row r="60" spans="1:2" ht="15" customHeight="1" x14ac:dyDescent="0.35">
      <c r="A60" s="99"/>
      <c r="B60" s="99"/>
    </row>
    <row r="61" spans="1:2" ht="15" customHeight="1" x14ac:dyDescent="0.35">
      <c r="A61" s="99"/>
      <c r="B61" s="99"/>
    </row>
    <row r="62" spans="1:2" ht="15" customHeight="1" x14ac:dyDescent="0.35">
      <c r="A62" s="99"/>
      <c r="B62" s="99"/>
    </row>
    <row r="63" spans="1:2" ht="15" customHeight="1" x14ac:dyDescent="0.35">
      <c r="A63" s="99"/>
      <c r="B63" s="99"/>
    </row>
  </sheetData>
  <mergeCells count="11">
    <mergeCell ref="A1:B2"/>
    <mergeCell ref="A13:B15"/>
    <mergeCell ref="A5:B9"/>
    <mergeCell ref="A53:B57"/>
    <mergeCell ref="A59:B63"/>
    <mergeCell ref="A18:B21"/>
    <mergeCell ref="A24:B26"/>
    <mergeCell ref="A29:B32"/>
    <mergeCell ref="A35:B38"/>
    <mergeCell ref="A41:B43"/>
    <mergeCell ref="A46:B50"/>
  </mergeCells>
  <pageMargins left="0.7" right="0.7" top="0.75" bottom="0.75" header="0.3" footer="0.3"/>
  <pageSetup paperSize="9" fitToHeight="0" orientation="portrait" horizontalDpi="300" verticalDpi="300" r:id="rId1"/>
  <headerFooter>
    <oddHeader>&amp;CConclusion Recommendations</oddHeader>
    <oddFooter>&amp;RPage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Read Me</vt:lpstr>
      <vt:lpstr>Executive Summary</vt:lpstr>
      <vt:lpstr>Dashboard</vt:lpstr>
      <vt:lpstr>Assumptions</vt:lpstr>
      <vt:lpstr>Site Detail</vt:lpstr>
      <vt:lpstr>Model</vt:lpstr>
      <vt:lpstr>P&amp;L (Case B)</vt:lpstr>
      <vt:lpstr>Balance Sheet (Case B)</vt:lpstr>
      <vt:lpstr>Summary</vt:lpstr>
      <vt:lpstr>Sensitivity Analysis</vt:lpstr>
      <vt:lpstr>Conclusion &amp; Recommendations</vt:lpstr>
      <vt:lpstr>Assumptions!Print_Area</vt:lpstr>
      <vt:lpstr>'Balance Sheet (Case B)'!Print_Area</vt:lpstr>
      <vt:lpstr>'Conclusion &amp; Recommendations'!Print_Area</vt:lpstr>
      <vt:lpstr>Dashboard!Print_Area</vt:lpstr>
      <vt:lpstr>'Executive Summary'!Print_Area</vt:lpstr>
      <vt:lpstr>Model!Print_Area</vt:lpstr>
      <vt:lpstr>'P&amp;L (Case B)'!Print_Area</vt:lpstr>
      <vt:lpstr>'Read Me'!Print_Area</vt:lpstr>
      <vt:lpstr>'Sensitivity Analysis'!Print_Area</vt:lpstr>
      <vt:lpstr>'Site Detail'!Print_Area</vt:lpstr>
      <vt:lpstr>Summary!Print_Area</vt:lpstr>
      <vt:lpstr>'Balance Sheet (Case B)'!Print_Titles</vt:lpstr>
      <vt:lpstr>Model!Print_Titles</vt:lpstr>
      <vt:lpstr>'P&amp;L (Case B)'!Print_Titles</vt:lpstr>
      <vt:lpstr>'Site Detail'!Print_Titles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cp:lastModifiedBy>
  <cp:revision>36</cp:revision>
  <cp:lastPrinted>2026-07-23T11:21:43Z</cp:lastPrinted>
  <dcterms:created xsi:type="dcterms:W3CDTF">2026-07-20T23:10:57Z</dcterms:created>
  <dcterms:modified xsi:type="dcterms:W3CDTF">2026-07-23T12:27:17Z</dcterms:modified>
  <dc:language>en-US</dc:language>
</cp:coreProperties>
</file>